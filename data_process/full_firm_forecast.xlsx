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_Carbon\Holder\"/>
    </mc:Choice>
  </mc:AlternateContent>
  <xr:revisionPtr revIDLastSave="0" documentId="13_ncr:1_{21447936-11DD-47A1-9112-BC68658064BC}" xr6:coauthVersionLast="47" xr6:coauthVersionMax="47" xr10:uidLastSave="{00000000-0000-0000-0000-000000000000}"/>
  <bookViews>
    <workbookView xWindow="-120" yWindow="-120" windowWidth="29040" windowHeight="15720" xr2:uid="{6980B158-CCBF-4DD5-8CFD-ACD39E226816}"/>
  </bookViews>
  <sheets>
    <sheet name="Sheet1" sheetId="1" r:id="rId1"/>
  </sheets>
  <definedNames>
    <definedName name="_xlnm._FilterDatabase" localSheetId="0" hidden="1">Sheet1!$A$1:$P$287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M3" i="1" s="1"/>
  <c r="N4" i="1"/>
  <c r="M4" i="1" s="1"/>
  <c r="N5" i="1"/>
  <c r="M5" i="1" s="1"/>
  <c r="N6" i="1"/>
  <c r="M6" i="1" s="1"/>
  <c r="N7" i="1"/>
  <c r="M7" i="1" s="1"/>
  <c r="N8" i="1"/>
  <c r="M8" i="1" s="1"/>
  <c r="N9" i="1"/>
  <c r="M9" i="1" s="1"/>
  <c r="N10" i="1"/>
  <c r="M10" i="1" s="1"/>
  <c r="N11" i="1"/>
  <c r="M11" i="1" s="1"/>
  <c r="N12" i="1"/>
  <c r="M12" i="1" s="1"/>
  <c r="N13" i="1"/>
  <c r="M13" i="1" s="1"/>
  <c r="N14" i="1"/>
  <c r="M14" i="1" s="1"/>
  <c r="N15" i="1"/>
  <c r="M15" i="1" s="1"/>
  <c r="N16" i="1"/>
  <c r="M16" i="1" s="1"/>
  <c r="N17" i="1"/>
  <c r="M17" i="1" s="1"/>
  <c r="N18" i="1"/>
  <c r="M18" i="1" s="1"/>
  <c r="N19" i="1"/>
  <c r="M19" i="1" s="1"/>
  <c r="N20" i="1"/>
  <c r="M20" i="1" s="1"/>
  <c r="N21" i="1"/>
  <c r="M21" i="1" s="1"/>
  <c r="N22" i="1"/>
  <c r="M22" i="1" s="1"/>
  <c r="N23" i="1"/>
  <c r="M23" i="1" s="1"/>
  <c r="N24" i="1"/>
  <c r="M24" i="1" s="1"/>
  <c r="N25" i="1"/>
  <c r="M25" i="1" s="1"/>
  <c r="N26" i="1"/>
  <c r="M26" i="1" s="1"/>
  <c r="N27" i="1"/>
  <c r="M27" i="1" s="1"/>
  <c r="N28" i="1"/>
  <c r="M28" i="1" s="1"/>
  <c r="N29" i="1"/>
  <c r="M29" i="1" s="1"/>
  <c r="N30" i="1"/>
  <c r="M30" i="1" s="1"/>
  <c r="N31" i="1"/>
  <c r="M31" i="1" s="1"/>
  <c r="N32" i="1"/>
  <c r="M32" i="1" s="1"/>
  <c r="N33" i="1"/>
  <c r="M33" i="1" s="1"/>
  <c r="N34" i="1"/>
  <c r="M34" i="1" s="1"/>
  <c r="N35" i="1"/>
  <c r="M35" i="1" s="1"/>
  <c r="N36" i="1"/>
  <c r="M36" i="1" s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3" i="1"/>
  <c r="M43" i="1" s="1"/>
  <c r="N44" i="1"/>
  <c r="M44" i="1" s="1"/>
  <c r="N45" i="1"/>
  <c r="M45" i="1" s="1"/>
  <c r="N46" i="1"/>
  <c r="M46" i="1" s="1"/>
  <c r="N47" i="1"/>
  <c r="M47" i="1" s="1"/>
  <c r="N48" i="1"/>
  <c r="M48" i="1" s="1"/>
  <c r="N49" i="1"/>
  <c r="M49" i="1" s="1"/>
  <c r="N50" i="1"/>
  <c r="M50" i="1" s="1"/>
  <c r="N51" i="1"/>
  <c r="M51" i="1" s="1"/>
  <c r="N52" i="1"/>
  <c r="M52" i="1" s="1"/>
  <c r="N53" i="1"/>
  <c r="M53" i="1" s="1"/>
  <c r="N54" i="1"/>
  <c r="M54" i="1" s="1"/>
  <c r="N55" i="1"/>
  <c r="M55" i="1" s="1"/>
  <c r="N56" i="1"/>
  <c r="M56" i="1" s="1"/>
  <c r="N57" i="1"/>
  <c r="M57" i="1" s="1"/>
  <c r="N58" i="1"/>
  <c r="M58" i="1" s="1"/>
  <c r="N59" i="1"/>
  <c r="M59" i="1" s="1"/>
  <c r="N2" i="1"/>
  <c r="M2" i="1" s="1"/>
  <c r="N235" i="1"/>
  <c r="M235" i="1" s="1"/>
  <c r="N236" i="1"/>
  <c r="M236" i="1" s="1"/>
  <c r="N237" i="1"/>
  <c r="M237" i="1" s="1"/>
  <c r="N238" i="1"/>
  <c r="M238" i="1" s="1"/>
  <c r="N239" i="1"/>
  <c r="M239" i="1" s="1"/>
  <c r="N240" i="1"/>
  <c r="M240" i="1" s="1"/>
  <c r="N241" i="1"/>
  <c r="M241" i="1" s="1"/>
  <c r="N242" i="1"/>
  <c r="N243" i="1"/>
  <c r="M243" i="1" s="1"/>
  <c r="N244" i="1"/>
  <c r="M244" i="1" s="1"/>
  <c r="N245" i="1"/>
  <c r="M245" i="1" s="1"/>
  <c r="N246" i="1"/>
  <c r="M246" i="1" s="1"/>
  <c r="N247" i="1"/>
  <c r="M247" i="1" s="1"/>
  <c r="N248" i="1"/>
  <c r="M248" i="1" s="1"/>
  <c r="N249" i="1"/>
  <c r="M249" i="1" s="1"/>
  <c r="N250" i="1"/>
  <c r="M250" i="1" s="1"/>
  <c r="N251" i="1"/>
  <c r="M251" i="1" s="1"/>
  <c r="N252" i="1"/>
  <c r="M252" i="1" s="1"/>
  <c r="N253" i="1"/>
  <c r="M253" i="1" s="1"/>
  <c r="N254" i="1"/>
  <c r="M254" i="1" s="1"/>
  <c r="N255" i="1"/>
  <c r="M255" i="1" s="1"/>
  <c r="N256" i="1"/>
  <c r="M256" i="1" s="1"/>
  <c r="N257" i="1"/>
  <c r="M257" i="1" s="1"/>
  <c r="N258" i="1"/>
  <c r="N259" i="1"/>
  <c r="M259" i="1" s="1"/>
  <c r="N260" i="1"/>
  <c r="M260" i="1" s="1"/>
  <c r="N261" i="1"/>
  <c r="M261" i="1" s="1"/>
  <c r="N262" i="1"/>
  <c r="M262" i="1" s="1"/>
  <c r="N263" i="1"/>
  <c r="M263" i="1" s="1"/>
  <c r="N264" i="1"/>
  <c r="M264" i="1" s="1"/>
  <c r="N265" i="1"/>
  <c r="M265" i="1" s="1"/>
  <c r="N266" i="1"/>
  <c r="M266" i="1" s="1"/>
  <c r="N267" i="1"/>
  <c r="M267" i="1" s="1"/>
  <c r="N268" i="1"/>
  <c r="M268" i="1" s="1"/>
  <c r="N269" i="1"/>
  <c r="M269" i="1" s="1"/>
  <c r="N270" i="1"/>
  <c r="M270" i="1" s="1"/>
  <c r="N271" i="1"/>
  <c r="M271" i="1" s="1"/>
  <c r="N272" i="1"/>
  <c r="M272" i="1" s="1"/>
  <c r="N273" i="1"/>
  <c r="M273" i="1" s="1"/>
  <c r="N274" i="1"/>
  <c r="M274" i="1" s="1"/>
  <c r="N275" i="1"/>
  <c r="M275" i="1" s="1"/>
  <c r="N276" i="1"/>
  <c r="M276" i="1" s="1"/>
  <c r="N277" i="1"/>
  <c r="M277" i="1" s="1"/>
  <c r="N278" i="1"/>
  <c r="M278" i="1" s="1"/>
  <c r="N279" i="1"/>
  <c r="M279" i="1" s="1"/>
  <c r="N280" i="1"/>
  <c r="M280" i="1" s="1"/>
  <c r="N281" i="1"/>
  <c r="M281" i="1" s="1"/>
  <c r="N282" i="1"/>
  <c r="M282" i="1" s="1"/>
  <c r="N283" i="1"/>
  <c r="M283" i="1" s="1"/>
  <c r="N284" i="1"/>
  <c r="M284" i="1" s="1"/>
  <c r="N285" i="1"/>
  <c r="M285" i="1" s="1"/>
  <c r="N286" i="1"/>
  <c r="M286" i="1" s="1"/>
  <c r="N287" i="1"/>
  <c r="M287" i="1" s="1"/>
  <c r="N234" i="1"/>
  <c r="M234" i="1" s="1"/>
  <c r="N60" i="1"/>
  <c r="M60" i="1" s="1"/>
  <c r="N61" i="1"/>
  <c r="M61" i="1" s="1"/>
  <c r="N62" i="1"/>
  <c r="M62" i="1" s="1"/>
  <c r="N63" i="1"/>
  <c r="M63" i="1" s="1"/>
  <c r="N64" i="1"/>
  <c r="M64" i="1" s="1"/>
  <c r="N65" i="1"/>
  <c r="M65" i="1" s="1"/>
  <c r="N66" i="1"/>
  <c r="M66" i="1" s="1"/>
  <c r="N67" i="1"/>
  <c r="M67" i="1" s="1"/>
  <c r="N68" i="1"/>
  <c r="M68" i="1" s="1"/>
  <c r="N69" i="1"/>
  <c r="M69" i="1" s="1"/>
  <c r="N70" i="1"/>
  <c r="M70" i="1" s="1"/>
  <c r="N71" i="1"/>
  <c r="M71" i="1" s="1"/>
  <c r="N72" i="1"/>
  <c r="M72" i="1" s="1"/>
  <c r="N73" i="1"/>
  <c r="M73" i="1" s="1"/>
  <c r="N74" i="1"/>
  <c r="M74" i="1" s="1"/>
  <c r="N75" i="1"/>
  <c r="M75" i="1" s="1"/>
  <c r="N76" i="1"/>
  <c r="M76" i="1" s="1"/>
  <c r="N77" i="1"/>
  <c r="M77" i="1" s="1"/>
  <c r="N78" i="1"/>
  <c r="M78" i="1" s="1"/>
  <c r="N79" i="1"/>
  <c r="M79" i="1" s="1"/>
  <c r="N80" i="1"/>
  <c r="M80" i="1" s="1"/>
  <c r="N81" i="1"/>
  <c r="M81" i="1" s="1"/>
  <c r="N82" i="1"/>
  <c r="M82" i="1" s="1"/>
  <c r="N83" i="1"/>
  <c r="M83" i="1" s="1"/>
  <c r="N84" i="1"/>
  <c r="M84" i="1" s="1"/>
  <c r="N85" i="1"/>
  <c r="M85" i="1" s="1"/>
  <c r="N86" i="1"/>
  <c r="M86" i="1" s="1"/>
  <c r="N87" i="1"/>
  <c r="M87" i="1" s="1"/>
  <c r="N88" i="1"/>
  <c r="M88" i="1" s="1"/>
  <c r="N89" i="1"/>
  <c r="M89" i="1" s="1"/>
  <c r="N90" i="1"/>
  <c r="M90" i="1" s="1"/>
  <c r="N91" i="1"/>
  <c r="M91" i="1" s="1"/>
  <c r="N92" i="1"/>
  <c r="M92" i="1" s="1"/>
  <c r="N93" i="1"/>
  <c r="M93" i="1" s="1"/>
  <c r="N94" i="1"/>
  <c r="M94" i="1" s="1"/>
  <c r="N95" i="1"/>
  <c r="M95" i="1" s="1"/>
  <c r="N96" i="1"/>
  <c r="M96" i="1" s="1"/>
  <c r="N97" i="1"/>
  <c r="M97" i="1" s="1"/>
  <c r="N98" i="1"/>
  <c r="M98" i="1" s="1"/>
  <c r="N99" i="1"/>
  <c r="M99" i="1" s="1"/>
  <c r="N100" i="1"/>
  <c r="M100" i="1" s="1"/>
  <c r="N101" i="1"/>
  <c r="M101" i="1" s="1"/>
  <c r="N102" i="1"/>
  <c r="M102" i="1" s="1"/>
  <c r="N103" i="1"/>
  <c r="M103" i="1" s="1"/>
  <c r="N104" i="1"/>
  <c r="M104" i="1" s="1"/>
  <c r="N105" i="1"/>
  <c r="M105" i="1" s="1"/>
  <c r="N106" i="1"/>
  <c r="M106" i="1" s="1"/>
  <c r="N107" i="1"/>
  <c r="M107" i="1" s="1"/>
  <c r="N109" i="1"/>
  <c r="M109" i="1" s="1"/>
  <c r="N110" i="1"/>
  <c r="M110" i="1" s="1"/>
  <c r="N111" i="1"/>
  <c r="M111" i="1" s="1"/>
  <c r="N112" i="1"/>
  <c r="M112" i="1" s="1"/>
  <c r="N113" i="1"/>
  <c r="M113" i="1" s="1"/>
  <c r="N114" i="1"/>
  <c r="M114" i="1" s="1"/>
  <c r="N115" i="1"/>
  <c r="M115" i="1" s="1"/>
  <c r="N116" i="1"/>
  <c r="M116" i="1" s="1"/>
  <c r="N117" i="1"/>
  <c r="M117" i="1" s="1"/>
  <c r="N118" i="1"/>
  <c r="M118" i="1" s="1"/>
  <c r="N119" i="1"/>
  <c r="M119" i="1" s="1"/>
  <c r="N120" i="1"/>
  <c r="M120" i="1" s="1"/>
  <c r="N121" i="1"/>
  <c r="M121" i="1" s="1"/>
  <c r="N122" i="1"/>
  <c r="M122" i="1" s="1"/>
  <c r="N123" i="1"/>
  <c r="M123" i="1" s="1"/>
  <c r="N124" i="1"/>
  <c r="M124" i="1" s="1"/>
  <c r="N125" i="1"/>
  <c r="M125" i="1" s="1"/>
  <c r="N126" i="1"/>
  <c r="M126" i="1" s="1"/>
  <c r="N127" i="1"/>
  <c r="M127" i="1" s="1"/>
  <c r="N128" i="1"/>
  <c r="M128" i="1" s="1"/>
  <c r="N129" i="1"/>
  <c r="M129" i="1" s="1"/>
  <c r="N130" i="1"/>
  <c r="M130" i="1" s="1"/>
  <c r="N131" i="1"/>
  <c r="M131" i="1" s="1"/>
  <c r="N132" i="1"/>
  <c r="M132" i="1" s="1"/>
  <c r="N133" i="1"/>
  <c r="M133" i="1" s="1"/>
  <c r="N134" i="1"/>
  <c r="M134" i="1" s="1"/>
  <c r="N135" i="1"/>
  <c r="M135" i="1" s="1"/>
  <c r="N136" i="1"/>
  <c r="M136" i="1" s="1"/>
  <c r="N137" i="1"/>
  <c r="M137" i="1" s="1"/>
  <c r="N138" i="1"/>
  <c r="M138" i="1" s="1"/>
  <c r="N139" i="1"/>
  <c r="M139" i="1" s="1"/>
  <c r="N140" i="1"/>
  <c r="M140" i="1" s="1"/>
  <c r="N141" i="1"/>
  <c r="M141" i="1" s="1"/>
  <c r="N142" i="1"/>
  <c r="M142" i="1" s="1"/>
  <c r="N143" i="1"/>
  <c r="M143" i="1" s="1"/>
  <c r="N144" i="1"/>
  <c r="M144" i="1" s="1"/>
  <c r="N145" i="1"/>
  <c r="M145" i="1" s="1"/>
  <c r="N146" i="1"/>
  <c r="M146" i="1" s="1"/>
  <c r="N147" i="1"/>
  <c r="M147" i="1" s="1"/>
  <c r="N148" i="1"/>
  <c r="M148" i="1" s="1"/>
  <c r="N149" i="1"/>
  <c r="M149" i="1" s="1"/>
  <c r="N150" i="1"/>
  <c r="M150" i="1" s="1"/>
  <c r="N151" i="1"/>
  <c r="M151" i="1" s="1"/>
  <c r="N152" i="1"/>
  <c r="M152" i="1" s="1"/>
  <c r="N153" i="1"/>
  <c r="M153" i="1" s="1"/>
  <c r="N154" i="1"/>
  <c r="M154" i="1" s="1"/>
  <c r="N155" i="1"/>
  <c r="M155" i="1" s="1"/>
  <c r="N156" i="1"/>
  <c r="M156" i="1" s="1"/>
  <c r="N157" i="1"/>
  <c r="M157" i="1" s="1"/>
  <c r="N158" i="1"/>
  <c r="M158" i="1" s="1"/>
  <c r="N159" i="1"/>
  <c r="M159" i="1" s="1"/>
  <c r="N160" i="1"/>
  <c r="M160" i="1" s="1"/>
  <c r="N161" i="1"/>
  <c r="M161" i="1" s="1"/>
  <c r="N162" i="1"/>
  <c r="M162" i="1" s="1"/>
  <c r="N163" i="1"/>
  <c r="M163" i="1" s="1"/>
  <c r="N164" i="1"/>
  <c r="M164" i="1" s="1"/>
  <c r="N165" i="1"/>
  <c r="M165" i="1" s="1"/>
  <c r="N166" i="1"/>
  <c r="M166" i="1" s="1"/>
  <c r="N167" i="1"/>
  <c r="M167" i="1" s="1"/>
  <c r="N168" i="1"/>
  <c r="M168" i="1" s="1"/>
  <c r="N169" i="1"/>
  <c r="M169" i="1" s="1"/>
  <c r="N170" i="1"/>
  <c r="M170" i="1" s="1"/>
  <c r="N171" i="1"/>
  <c r="M171" i="1" s="1"/>
  <c r="N172" i="1"/>
  <c r="M172" i="1" s="1"/>
  <c r="N173" i="1"/>
  <c r="M173" i="1" s="1"/>
  <c r="N174" i="1"/>
  <c r="M174" i="1" s="1"/>
  <c r="N175" i="1"/>
  <c r="M175" i="1" s="1"/>
  <c r="N176" i="1"/>
  <c r="M176" i="1" s="1"/>
  <c r="N177" i="1"/>
  <c r="M177" i="1" s="1"/>
  <c r="N178" i="1"/>
  <c r="M178" i="1" s="1"/>
  <c r="N179" i="1"/>
  <c r="M179" i="1" s="1"/>
  <c r="N180" i="1"/>
  <c r="M180" i="1" s="1"/>
  <c r="N181" i="1"/>
  <c r="M181" i="1" s="1"/>
  <c r="N182" i="1"/>
  <c r="M182" i="1" s="1"/>
  <c r="N183" i="1"/>
  <c r="M183" i="1" s="1"/>
  <c r="N184" i="1"/>
  <c r="M184" i="1" s="1"/>
  <c r="N185" i="1"/>
  <c r="M185" i="1" s="1"/>
  <c r="N186" i="1"/>
  <c r="M186" i="1" s="1"/>
  <c r="N187" i="1"/>
  <c r="M187" i="1" s="1"/>
  <c r="N188" i="1"/>
  <c r="M188" i="1" s="1"/>
  <c r="N189" i="1"/>
  <c r="M189" i="1" s="1"/>
  <c r="N190" i="1"/>
  <c r="M190" i="1" s="1"/>
  <c r="N191" i="1"/>
  <c r="M191" i="1" s="1"/>
  <c r="N192" i="1"/>
  <c r="M192" i="1" s="1"/>
  <c r="N193" i="1"/>
  <c r="M193" i="1" s="1"/>
  <c r="N194" i="1"/>
  <c r="M194" i="1" s="1"/>
  <c r="N195" i="1"/>
  <c r="M195" i="1" s="1"/>
  <c r="N196" i="1"/>
  <c r="M196" i="1" s="1"/>
  <c r="N197" i="1"/>
  <c r="M197" i="1" s="1"/>
  <c r="N198" i="1"/>
  <c r="M198" i="1" s="1"/>
  <c r="N199" i="1"/>
  <c r="M199" i="1" s="1"/>
  <c r="N200" i="1"/>
  <c r="M200" i="1" s="1"/>
  <c r="N201" i="1"/>
  <c r="M201" i="1" s="1"/>
  <c r="N202" i="1"/>
  <c r="M202" i="1" s="1"/>
  <c r="N203" i="1"/>
  <c r="M203" i="1" s="1"/>
  <c r="N204" i="1"/>
  <c r="M204" i="1" s="1"/>
  <c r="N205" i="1"/>
  <c r="M205" i="1" s="1"/>
  <c r="N206" i="1"/>
  <c r="M206" i="1" s="1"/>
  <c r="N207" i="1"/>
  <c r="M207" i="1" s="1"/>
  <c r="N208" i="1"/>
  <c r="M208" i="1" s="1"/>
  <c r="N209" i="1"/>
  <c r="M209" i="1" s="1"/>
  <c r="N210" i="1"/>
  <c r="M210" i="1" s="1"/>
  <c r="N211" i="1"/>
  <c r="M211" i="1" s="1"/>
  <c r="N212" i="1"/>
  <c r="M212" i="1" s="1"/>
  <c r="N213" i="1"/>
  <c r="M213" i="1" s="1"/>
  <c r="N214" i="1"/>
  <c r="M214" i="1" s="1"/>
  <c r="N215" i="1"/>
  <c r="M215" i="1" s="1"/>
  <c r="N216" i="1"/>
  <c r="M216" i="1" s="1"/>
  <c r="N217" i="1"/>
  <c r="M217" i="1" s="1"/>
  <c r="N218" i="1"/>
  <c r="M218" i="1" s="1"/>
  <c r="N219" i="1"/>
  <c r="M219" i="1" s="1"/>
  <c r="N220" i="1"/>
  <c r="M220" i="1" s="1"/>
  <c r="N221" i="1"/>
  <c r="M221" i="1" s="1"/>
  <c r="N222" i="1"/>
  <c r="M222" i="1" s="1"/>
  <c r="N223" i="1"/>
  <c r="M223" i="1" s="1"/>
  <c r="N224" i="1"/>
  <c r="M224" i="1" s="1"/>
  <c r="N225" i="1"/>
  <c r="M225" i="1" s="1"/>
  <c r="N226" i="1"/>
  <c r="M226" i="1" s="1"/>
  <c r="N227" i="1"/>
  <c r="M227" i="1" s="1"/>
  <c r="N228" i="1"/>
  <c r="M228" i="1" s="1"/>
  <c r="N229" i="1"/>
  <c r="M229" i="1" s="1"/>
  <c r="N230" i="1"/>
  <c r="M230" i="1" s="1"/>
  <c r="N231" i="1"/>
  <c r="M231" i="1" s="1"/>
  <c r="N232" i="1"/>
  <c r="M232" i="1" s="1"/>
  <c r="N233" i="1"/>
  <c r="M233" i="1" s="1"/>
  <c r="M242" i="1"/>
  <c r="M258" i="1"/>
  <c r="N108" i="1"/>
  <c r="M108" i="1" s="1"/>
</calcChain>
</file>

<file path=xl/sharedStrings.xml><?xml version="1.0" encoding="utf-8"?>
<sst xmlns="http://schemas.openxmlformats.org/spreadsheetml/2006/main" count="588" uniqueCount="65">
  <si>
    <t>Location</t>
  </si>
  <si>
    <t>year</t>
  </si>
  <si>
    <t>N_train</t>
  </si>
  <si>
    <t>N_inference</t>
  </si>
  <si>
    <t>P_avg_train</t>
  </si>
  <si>
    <t>P_avg_inference</t>
  </si>
  <si>
    <t>u_train</t>
  </si>
  <si>
    <t>u_inference</t>
  </si>
  <si>
    <t>H_train</t>
  </si>
  <si>
    <t>H_inference</t>
  </si>
  <si>
    <t>PUE</t>
  </si>
  <si>
    <t>grid_factor</t>
  </si>
  <si>
    <t>CO2</t>
  </si>
  <si>
    <t>Kuala Lumpur, Malaysia</t>
  </si>
  <si>
    <t>Dallas–Fort Worth, Texas, USA</t>
  </si>
  <si>
    <t>Singapore, Singapore</t>
  </si>
  <si>
    <t>Amsterdam, Netherlands</t>
  </si>
  <si>
    <t>Riyadh, Saudi Arabia</t>
  </si>
  <si>
    <t>Tokyo, Japan</t>
  </si>
  <si>
    <t>Madrid, Spain</t>
  </si>
  <si>
    <t>Abilene, Texas, USA</t>
  </si>
  <si>
    <t>Bangladesh</t>
  </si>
  <si>
    <t>New Zealand</t>
  </si>
  <si>
    <t>Firm</t>
  </si>
  <si>
    <t>Oracle</t>
  </si>
  <si>
    <t>Columbus, Ohio, USA</t>
  </si>
  <si>
    <t>Taipei, Taiwan</t>
  </si>
  <si>
    <t>Milan, Italy</t>
  </si>
  <si>
    <t>Bangkok, Thailand</t>
  </si>
  <si>
    <t>Marysville, Ohio, USA</t>
  </si>
  <si>
    <t>Sunbury, Ohio, USA</t>
  </si>
  <si>
    <t>Fayette County, Ohio, USA</t>
  </si>
  <si>
    <t>Amazon</t>
  </si>
  <si>
    <t>Caldwell County, North Carolina, USA</t>
  </si>
  <si>
    <t>Eemshaven, Netherlands</t>
  </si>
  <si>
    <t>Groningen, Netherlands</t>
  </si>
  <si>
    <t>Google</t>
  </si>
  <si>
    <t>Dallas, Texas, USA</t>
  </si>
  <si>
    <t>Phoenix, Arizona, USA</t>
  </si>
  <si>
    <t>Oregon, USA</t>
  </si>
  <si>
    <t>Atlanta, Georgia, USA</t>
  </si>
  <si>
    <t>Meta</t>
  </si>
  <si>
    <t>Georgia, USA</t>
  </si>
  <si>
    <t>Johor Bahru, Malaysia</t>
  </si>
  <si>
    <t>Loughton, UK</t>
  </si>
  <si>
    <t>Narvik, Norway</t>
  </si>
  <si>
    <t>Poland</t>
  </si>
  <si>
    <t>Singapore</t>
  </si>
  <si>
    <t>Texas, USA</t>
  </si>
  <si>
    <t>Wisconsin, USA</t>
  </si>
  <si>
    <t>Wyoming, USA</t>
  </si>
  <si>
    <t>Msft</t>
  </si>
  <si>
    <t>Arizona, USA</t>
  </si>
  <si>
    <t>California, USA</t>
  </si>
  <si>
    <t>Houston, Texas, USA</t>
  </si>
  <si>
    <t>Iowa, USA</t>
  </si>
  <si>
    <t>Maiden, North Carolina, USA</t>
  </si>
  <si>
    <t>Michigan, USA</t>
  </si>
  <si>
    <t>Nevada, USA</t>
  </si>
  <si>
    <t>Washington, USA</t>
  </si>
  <si>
    <t>Apple</t>
  </si>
  <si>
    <t>Dallas-Fort Worth, Texas, USA</t>
  </si>
  <si>
    <t>E_AI_DC</t>
  </si>
  <si>
    <t>E_AI_IT</t>
  </si>
  <si>
    <t>Virginia,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</si>
</sst>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CE1A7B97-1EF3-419E-B829-FFAD861CB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EC9A-25B2-45A0-89AB-C1CAAF77BF55}">
  <sheetPr filterMode="1"/>
  <dimension ref="A1:P287"/>
  <sheetViews>
    <sheetView tabSelected="1" topLeftCell="A229" zoomScaleNormal="100" workbookViewId="0">
      <selection activeCell="I259" sqref="I259"/>
    </sheetView>
  </sheetViews>
  <sheetFormatPr defaultRowHeight="13.5" x14ac:dyDescent="0.15"/>
  <cols>
    <col min="1" max="1" width="6.875" bestFit="1" customWidth="1"/>
    <col min="2" max="2" width="31.375" bestFit="1" customWidth="1"/>
    <col min="3" max="3" width="8.25" bestFit="1" customWidth="1"/>
    <col min="4" max="5" width="10.5" bestFit="1" customWidth="1"/>
    <col min="6" max="6" width="13.625" bestFit="1" customWidth="1"/>
    <col min="7" max="7" width="17.75" bestFit="1" customWidth="1"/>
    <col min="8" max="8" width="10.25" bestFit="1" customWidth="1"/>
    <col min="9" max="9" width="14.25" bestFit="1" customWidth="1"/>
    <col min="10" max="11" width="10.5" bestFit="1" customWidth="1"/>
    <col min="12" max="12" width="8" bestFit="1" customWidth="1"/>
    <col min="13" max="14" width="11.875" bestFit="1" customWidth="1"/>
    <col min="15" max="15" width="13.25" bestFit="1" customWidth="1"/>
    <col min="16" max="16" width="11.875" bestFit="1" customWidth="1"/>
  </cols>
  <sheetData>
    <row r="1" spans="1:16" ht="15" x14ac:dyDescent="0.1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63</v>
      </c>
      <c r="N1" s="1" t="s">
        <v>62</v>
      </c>
      <c r="O1" s="1" t="s">
        <v>11</v>
      </c>
      <c r="P1" s="1" t="s">
        <v>12</v>
      </c>
    </row>
    <row r="2" spans="1:16" hidden="1" x14ac:dyDescent="0.15">
      <c r="A2" t="s">
        <v>24</v>
      </c>
      <c r="B2" t="s">
        <v>13</v>
      </c>
      <c r="C2">
        <v>2025</v>
      </c>
      <c r="D2">
        <v>45000</v>
      </c>
      <c r="E2">
        <v>150000</v>
      </c>
      <c r="F2">
        <v>0.55000000000000004</v>
      </c>
      <c r="G2">
        <v>0.2</v>
      </c>
      <c r="H2">
        <v>0.74</v>
      </c>
      <c r="I2">
        <v>0.64</v>
      </c>
      <c r="J2">
        <v>4000</v>
      </c>
      <c r="K2">
        <v>5000</v>
      </c>
      <c r="L2">
        <v>1.36</v>
      </c>
      <c r="M2">
        <f>N2/L2</f>
        <v>1.6926E-2</v>
      </c>
      <c r="N2">
        <f>(D2*F2*H2*J2+E2*G2*I2*K2)*L2/10000000000</f>
        <v>2.3019360000000003E-2</v>
      </c>
      <c r="O2">
        <v>0.6</v>
      </c>
      <c r="P2">
        <v>139117500</v>
      </c>
    </row>
    <row r="3" spans="1:16" hidden="1" x14ac:dyDescent="0.15">
      <c r="A3" t="s">
        <v>24</v>
      </c>
      <c r="B3" t="s">
        <v>13</v>
      </c>
      <c r="C3">
        <v>2026</v>
      </c>
      <c r="D3">
        <v>45000</v>
      </c>
      <c r="E3">
        <v>150000</v>
      </c>
      <c r="F3">
        <v>0.55200000000000005</v>
      </c>
      <c r="G3">
        <v>0.20100000000000001</v>
      </c>
      <c r="H3">
        <v>0.75</v>
      </c>
      <c r="I3">
        <v>0.65</v>
      </c>
      <c r="J3">
        <v>4000</v>
      </c>
      <c r="K3">
        <v>5000</v>
      </c>
      <c r="L3">
        <v>1.35</v>
      </c>
      <c r="M3">
        <f t="shared" ref="M3:M66" si="0">N3/L3</f>
        <v>1.7250750000000002E-2</v>
      </c>
      <c r="N3">
        <f t="shared" ref="N3:N59" si="1">(D3*F3*H3*J3+E3*G3*I3*K3)*L3/10000000000</f>
        <v>2.3288512500000004E-2</v>
      </c>
      <c r="O3">
        <v>0.6</v>
      </c>
      <c r="P3">
        <v>139117500</v>
      </c>
    </row>
    <row r="4" spans="1:16" hidden="1" x14ac:dyDescent="0.15">
      <c r="A4" t="s">
        <v>24</v>
      </c>
      <c r="B4" t="s">
        <v>13</v>
      </c>
      <c r="C4">
        <v>2027</v>
      </c>
      <c r="D4">
        <v>47250</v>
      </c>
      <c r="E4">
        <v>157500</v>
      </c>
      <c r="F4">
        <v>0.55349999999999999</v>
      </c>
      <c r="G4">
        <v>0.20200000000000001</v>
      </c>
      <c r="H4">
        <v>0.76</v>
      </c>
      <c r="I4">
        <v>0.66</v>
      </c>
      <c r="J4">
        <v>4000</v>
      </c>
      <c r="K4">
        <v>5000</v>
      </c>
      <c r="L4">
        <v>1.36</v>
      </c>
      <c r="M4">
        <f t="shared" si="0"/>
        <v>1.8449424000000002E-2</v>
      </c>
      <c r="N4">
        <f t="shared" si="1"/>
        <v>2.5091216640000007E-2</v>
      </c>
      <c r="O4">
        <v>0.6</v>
      </c>
      <c r="P4">
        <v>150547299.84</v>
      </c>
    </row>
    <row r="5" spans="1:16" hidden="1" x14ac:dyDescent="0.15">
      <c r="A5" t="s">
        <v>24</v>
      </c>
      <c r="B5" t="s">
        <v>13</v>
      </c>
      <c r="C5">
        <v>2028</v>
      </c>
      <c r="D5">
        <v>49500</v>
      </c>
      <c r="E5">
        <v>165000</v>
      </c>
      <c r="F5">
        <v>0.55700000000000005</v>
      </c>
      <c r="G5">
        <v>0.20399999999999999</v>
      </c>
      <c r="H5">
        <v>0.77</v>
      </c>
      <c r="I5">
        <v>0.67</v>
      </c>
      <c r="J5">
        <v>4000</v>
      </c>
      <c r="K5">
        <v>5000</v>
      </c>
      <c r="L5">
        <v>1.37</v>
      </c>
      <c r="M5">
        <f t="shared" si="0"/>
        <v>1.9768122000000003E-2</v>
      </c>
      <c r="N5">
        <f t="shared" si="1"/>
        <v>2.7082327140000004E-2</v>
      </c>
      <c r="O5">
        <v>0.6</v>
      </c>
      <c r="P5">
        <v>162493962.84</v>
      </c>
    </row>
    <row r="6" spans="1:16" hidden="1" x14ac:dyDescent="0.15">
      <c r="A6" t="s">
        <v>24</v>
      </c>
      <c r="B6" t="s">
        <v>13</v>
      </c>
      <c r="C6">
        <v>2029</v>
      </c>
      <c r="D6">
        <v>51750</v>
      </c>
      <c r="E6">
        <v>172500</v>
      </c>
      <c r="F6">
        <v>0.5605</v>
      </c>
      <c r="G6">
        <v>0.20599999999999999</v>
      </c>
      <c r="H6">
        <v>0.78</v>
      </c>
      <c r="I6">
        <v>0.68</v>
      </c>
      <c r="J6">
        <v>4000</v>
      </c>
      <c r="K6">
        <v>5000</v>
      </c>
      <c r="L6">
        <v>1.38</v>
      </c>
      <c r="M6">
        <f t="shared" si="0"/>
        <v>2.1131733E-2</v>
      </c>
      <c r="N6">
        <f t="shared" si="1"/>
        <v>2.9161791539999999E-2</v>
      </c>
      <c r="O6">
        <v>0.6</v>
      </c>
      <c r="P6">
        <v>174970749.24000001</v>
      </c>
    </row>
    <row r="7" spans="1:16" hidden="1" x14ac:dyDescent="0.15">
      <c r="A7" t="s">
        <v>24</v>
      </c>
      <c r="B7" t="s">
        <v>13</v>
      </c>
      <c r="C7">
        <v>2030</v>
      </c>
      <c r="D7">
        <v>54000</v>
      </c>
      <c r="E7">
        <v>180000</v>
      </c>
      <c r="F7">
        <v>0.56399999999999995</v>
      </c>
      <c r="G7">
        <v>0.20799999999999999</v>
      </c>
      <c r="H7">
        <v>0.79</v>
      </c>
      <c r="I7">
        <v>0.69</v>
      </c>
      <c r="J7">
        <v>4000</v>
      </c>
      <c r="K7">
        <v>5000</v>
      </c>
      <c r="L7">
        <v>1.39</v>
      </c>
      <c r="M7">
        <f t="shared" si="0"/>
        <v>2.2540896000000001E-2</v>
      </c>
      <c r="N7">
        <f t="shared" si="1"/>
        <v>3.1331845439999999E-2</v>
      </c>
      <c r="O7">
        <v>0.6</v>
      </c>
      <c r="P7">
        <v>187991072.63999999</v>
      </c>
    </row>
    <row r="8" spans="1:16" x14ac:dyDescent="0.15">
      <c r="A8" t="s">
        <v>24</v>
      </c>
      <c r="B8" t="s">
        <v>61</v>
      </c>
      <c r="C8">
        <v>2025</v>
      </c>
      <c r="D8">
        <v>50000</v>
      </c>
      <c r="E8">
        <v>150000</v>
      </c>
      <c r="F8">
        <v>0.55000000000000004</v>
      </c>
      <c r="G8">
        <v>0.2</v>
      </c>
      <c r="H8">
        <v>0.75</v>
      </c>
      <c r="I8">
        <v>0.85</v>
      </c>
      <c r="J8">
        <v>6000</v>
      </c>
      <c r="K8">
        <v>7000</v>
      </c>
      <c r="L8">
        <v>1.2</v>
      </c>
      <c r="M8">
        <f t="shared" si="0"/>
        <v>3.0224999999999998E-2</v>
      </c>
      <c r="N8">
        <f t="shared" si="1"/>
        <v>3.6269999999999997E-2</v>
      </c>
      <c r="O8">
        <v>0.4</v>
      </c>
      <c r="P8">
        <v>145080000</v>
      </c>
    </row>
    <row r="9" spans="1:16" x14ac:dyDescent="0.15">
      <c r="A9" t="s">
        <v>24</v>
      </c>
      <c r="B9" t="s">
        <v>14</v>
      </c>
      <c r="C9">
        <v>2026</v>
      </c>
      <c r="D9">
        <v>55000</v>
      </c>
      <c r="E9">
        <v>165000</v>
      </c>
      <c r="F9">
        <v>0.55300000000000005</v>
      </c>
      <c r="G9">
        <v>0.20200000000000001</v>
      </c>
      <c r="H9">
        <v>0.76</v>
      </c>
      <c r="I9">
        <v>0.86</v>
      </c>
      <c r="J9">
        <v>6000</v>
      </c>
      <c r="K9">
        <v>7000</v>
      </c>
      <c r="L9">
        <v>1.19</v>
      </c>
      <c r="M9">
        <f t="shared" si="0"/>
        <v>3.3933900000000003E-2</v>
      </c>
      <c r="N9">
        <f t="shared" si="1"/>
        <v>4.0381341000000001E-2</v>
      </c>
      <c r="O9">
        <v>0.4</v>
      </c>
      <c r="P9">
        <v>161525364</v>
      </c>
    </row>
    <row r="10" spans="1:16" x14ac:dyDescent="0.15">
      <c r="A10" t="s">
        <v>24</v>
      </c>
      <c r="B10" t="s">
        <v>14</v>
      </c>
      <c r="C10">
        <v>2027</v>
      </c>
      <c r="D10">
        <v>60500</v>
      </c>
      <c r="E10">
        <v>181500</v>
      </c>
      <c r="F10">
        <v>0.55600000000000005</v>
      </c>
      <c r="G10">
        <v>0.20399999999999999</v>
      </c>
      <c r="H10">
        <v>0.77</v>
      </c>
      <c r="I10">
        <v>0.87</v>
      </c>
      <c r="J10">
        <v>6000</v>
      </c>
      <c r="K10">
        <v>7000</v>
      </c>
      <c r="L10">
        <v>1.18</v>
      </c>
      <c r="M10">
        <f t="shared" si="0"/>
        <v>3.808959E-2</v>
      </c>
      <c r="N10">
        <f t="shared" si="1"/>
        <v>4.4945716199999999E-2</v>
      </c>
      <c r="O10">
        <v>0.4</v>
      </c>
      <c r="P10">
        <v>179782864.80000001</v>
      </c>
    </row>
    <row r="11" spans="1:16" x14ac:dyDescent="0.15">
      <c r="A11" t="s">
        <v>24</v>
      </c>
      <c r="B11" t="s">
        <v>14</v>
      </c>
      <c r="C11">
        <v>2028</v>
      </c>
      <c r="D11">
        <v>66550</v>
      </c>
      <c r="E11">
        <v>199650</v>
      </c>
      <c r="F11">
        <v>0.55900000000000005</v>
      </c>
      <c r="G11">
        <v>0.20599999999999999</v>
      </c>
      <c r="H11">
        <v>0.78</v>
      </c>
      <c r="I11">
        <v>0.88</v>
      </c>
      <c r="J11">
        <v>6000</v>
      </c>
      <c r="K11">
        <v>7000</v>
      </c>
      <c r="L11">
        <v>1.17</v>
      </c>
      <c r="M11">
        <f t="shared" si="0"/>
        <v>4.2745064999999999E-2</v>
      </c>
      <c r="N11">
        <f t="shared" si="1"/>
        <v>5.0011726049999997E-2</v>
      </c>
      <c r="O11">
        <v>0.4</v>
      </c>
      <c r="P11">
        <v>200046904.19999999</v>
      </c>
    </row>
    <row r="12" spans="1:16" x14ac:dyDescent="0.15">
      <c r="A12" t="s">
        <v>24</v>
      </c>
      <c r="B12" t="s">
        <v>14</v>
      </c>
      <c r="C12">
        <v>2029</v>
      </c>
      <c r="D12">
        <v>73205</v>
      </c>
      <c r="E12">
        <v>219615</v>
      </c>
      <c r="F12">
        <v>0.56200000000000006</v>
      </c>
      <c r="G12">
        <v>0.20799999999999999</v>
      </c>
      <c r="H12">
        <v>0.79</v>
      </c>
      <c r="I12">
        <v>0.89</v>
      </c>
      <c r="J12">
        <v>6000</v>
      </c>
      <c r="K12">
        <v>7000</v>
      </c>
      <c r="L12">
        <v>1.1599999999999999</v>
      </c>
      <c r="M12">
        <f t="shared" si="0"/>
        <v>4.7959523699999999E-2</v>
      </c>
      <c r="N12">
        <f t="shared" si="1"/>
        <v>5.5633047491999994E-2</v>
      </c>
      <c r="O12">
        <v>0.4</v>
      </c>
      <c r="P12">
        <v>222532189.96799999</v>
      </c>
    </row>
    <row r="13" spans="1:16" x14ac:dyDescent="0.15">
      <c r="A13" t="s">
        <v>24</v>
      </c>
      <c r="B13" t="s">
        <v>14</v>
      </c>
      <c r="C13">
        <v>2030</v>
      </c>
      <c r="D13">
        <v>80525</v>
      </c>
      <c r="E13">
        <v>241576</v>
      </c>
      <c r="F13">
        <v>0.56499999999999995</v>
      </c>
      <c r="G13">
        <v>0.21</v>
      </c>
      <c r="H13">
        <v>0.8</v>
      </c>
      <c r="I13">
        <v>0.9</v>
      </c>
      <c r="J13">
        <v>6000</v>
      </c>
      <c r="K13">
        <v>7000</v>
      </c>
      <c r="L13">
        <v>1.1499999999999999</v>
      </c>
      <c r="M13">
        <f t="shared" si="0"/>
        <v>5.3798884799999995E-2</v>
      </c>
      <c r="N13">
        <f t="shared" si="1"/>
        <v>6.1868717519999991E-2</v>
      </c>
      <c r="O13">
        <v>0.4</v>
      </c>
      <c r="P13">
        <v>247474870.08000001</v>
      </c>
    </row>
    <row r="14" spans="1:16" hidden="1" x14ac:dyDescent="0.15">
      <c r="A14" t="s">
        <v>24</v>
      </c>
      <c r="B14" t="s">
        <v>47</v>
      </c>
      <c r="C14">
        <v>2025</v>
      </c>
      <c r="D14">
        <v>50000</v>
      </c>
      <c r="E14">
        <v>150000</v>
      </c>
      <c r="F14">
        <v>0.55000000000000004</v>
      </c>
      <c r="G14">
        <v>0.2</v>
      </c>
      <c r="H14">
        <v>0.75</v>
      </c>
      <c r="I14">
        <v>0.85</v>
      </c>
      <c r="J14">
        <v>6000</v>
      </c>
      <c r="K14">
        <v>7000</v>
      </c>
      <c r="L14">
        <v>1.3</v>
      </c>
      <c r="M14">
        <f t="shared" si="0"/>
        <v>3.0224999999999998E-2</v>
      </c>
      <c r="N14">
        <f t="shared" si="1"/>
        <v>3.9292500000000001E-2</v>
      </c>
      <c r="O14">
        <v>0.3</v>
      </c>
      <c r="P14">
        <v>108810000</v>
      </c>
    </row>
    <row r="15" spans="1:16" hidden="1" x14ac:dyDescent="0.15">
      <c r="A15" t="s">
        <v>24</v>
      </c>
      <c r="B15" t="s">
        <v>15</v>
      </c>
      <c r="C15">
        <v>2026</v>
      </c>
      <c r="D15">
        <v>55000</v>
      </c>
      <c r="E15">
        <v>165000</v>
      </c>
      <c r="F15">
        <v>0.56000000000000005</v>
      </c>
      <c r="G15">
        <v>0.2</v>
      </c>
      <c r="H15">
        <v>0.76</v>
      </c>
      <c r="I15">
        <v>0.86</v>
      </c>
      <c r="J15">
        <v>6000</v>
      </c>
      <c r="K15">
        <v>7000</v>
      </c>
      <c r="L15">
        <v>1.29</v>
      </c>
      <c r="M15">
        <f t="shared" si="0"/>
        <v>3.3910799999999998E-2</v>
      </c>
      <c r="N15">
        <f t="shared" si="1"/>
        <v>4.3744932E-2</v>
      </c>
      <c r="O15">
        <v>0.3</v>
      </c>
      <c r="P15">
        <v>121061556</v>
      </c>
    </row>
    <row r="16" spans="1:16" hidden="1" x14ac:dyDescent="0.15">
      <c r="A16" t="s">
        <v>24</v>
      </c>
      <c r="B16" t="s">
        <v>15</v>
      </c>
      <c r="C16">
        <v>2027</v>
      </c>
      <c r="D16">
        <v>60500</v>
      </c>
      <c r="E16">
        <v>181500</v>
      </c>
      <c r="F16">
        <v>0.56999999999999995</v>
      </c>
      <c r="G16">
        <v>0.2</v>
      </c>
      <c r="H16">
        <v>0.77</v>
      </c>
      <c r="I16">
        <v>0.87</v>
      </c>
      <c r="J16">
        <v>6000</v>
      </c>
      <c r="K16">
        <v>7000</v>
      </c>
      <c r="L16">
        <v>1.28</v>
      </c>
      <c r="M16">
        <f t="shared" si="0"/>
        <v>3.803877E-2</v>
      </c>
      <c r="N16">
        <f t="shared" si="1"/>
        <v>4.8689625600000001E-2</v>
      </c>
      <c r="O16">
        <v>0.3</v>
      </c>
      <c r="P16">
        <v>134657245.80000001</v>
      </c>
    </row>
    <row r="17" spans="1:16" hidden="1" x14ac:dyDescent="0.15">
      <c r="A17" t="s">
        <v>24</v>
      </c>
      <c r="B17" t="s">
        <v>15</v>
      </c>
      <c r="C17">
        <v>2028</v>
      </c>
      <c r="D17">
        <v>66500</v>
      </c>
      <c r="E17">
        <v>199500</v>
      </c>
      <c r="F17">
        <v>0.57999999999999996</v>
      </c>
      <c r="G17">
        <v>0.2</v>
      </c>
      <c r="H17">
        <v>0.78</v>
      </c>
      <c r="I17">
        <v>0.88</v>
      </c>
      <c r="J17">
        <v>6000</v>
      </c>
      <c r="K17">
        <v>7000</v>
      </c>
      <c r="L17">
        <v>1.27</v>
      </c>
      <c r="M17">
        <f t="shared" si="0"/>
        <v>4.2629159999999999E-2</v>
      </c>
      <c r="N17">
        <f t="shared" si="1"/>
        <v>5.4139033199999999E-2</v>
      </c>
      <c r="O17">
        <v>0.3</v>
      </c>
      <c r="P17">
        <v>149628351.59999999</v>
      </c>
    </row>
    <row r="18" spans="1:16" hidden="1" x14ac:dyDescent="0.15">
      <c r="A18" t="s">
        <v>24</v>
      </c>
      <c r="B18" t="s">
        <v>15</v>
      </c>
      <c r="C18">
        <v>2029</v>
      </c>
      <c r="D18">
        <v>73000</v>
      </c>
      <c r="E18">
        <v>219500</v>
      </c>
      <c r="F18">
        <v>0.59</v>
      </c>
      <c r="G18">
        <v>0.2</v>
      </c>
      <c r="H18">
        <v>0.79</v>
      </c>
      <c r="I18">
        <v>0.89</v>
      </c>
      <c r="J18">
        <v>6000</v>
      </c>
      <c r="K18">
        <v>7000</v>
      </c>
      <c r="L18">
        <v>1.26</v>
      </c>
      <c r="M18">
        <f t="shared" si="0"/>
        <v>4.7764879999999996E-2</v>
      </c>
      <c r="N18">
        <f t="shared" si="1"/>
        <v>6.0183748799999999E-2</v>
      </c>
      <c r="O18">
        <v>0.3</v>
      </c>
      <c r="P18">
        <v>166221782.40000001</v>
      </c>
    </row>
    <row r="19" spans="1:16" hidden="1" x14ac:dyDescent="0.15">
      <c r="A19" t="s">
        <v>24</v>
      </c>
      <c r="B19" t="s">
        <v>15</v>
      </c>
      <c r="C19">
        <v>2030</v>
      </c>
      <c r="D19">
        <v>80000</v>
      </c>
      <c r="E19">
        <v>240500</v>
      </c>
      <c r="F19">
        <v>0.6</v>
      </c>
      <c r="G19">
        <v>0.2</v>
      </c>
      <c r="H19">
        <v>0.8</v>
      </c>
      <c r="I19">
        <v>0.9</v>
      </c>
      <c r="J19">
        <v>6000</v>
      </c>
      <c r="K19">
        <v>7000</v>
      </c>
      <c r="L19">
        <v>1.25</v>
      </c>
      <c r="M19">
        <f t="shared" si="0"/>
        <v>5.3342999999999995E-2</v>
      </c>
      <c r="N19">
        <f t="shared" si="1"/>
        <v>6.6678749999999995E-2</v>
      </c>
      <c r="O19">
        <v>0.3</v>
      </c>
      <c r="P19">
        <v>184033350</v>
      </c>
    </row>
    <row r="20" spans="1:16" hidden="1" x14ac:dyDescent="0.15">
      <c r="A20" t="s">
        <v>24</v>
      </c>
      <c r="B20" t="s">
        <v>16</v>
      </c>
      <c r="C20">
        <v>2025</v>
      </c>
      <c r="D20">
        <v>50000</v>
      </c>
      <c r="E20">
        <v>150000</v>
      </c>
      <c r="F20">
        <v>0.55000000000000004</v>
      </c>
      <c r="G20">
        <v>0.2</v>
      </c>
      <c r="H20">
        <v>0.75</v>
      </c>
      <c r="I20">
        <v>0.85</v>
      </c>
      <c r="J20">
        <v>8000</v>
      </c>
      <c r="K20">
        <v>7000</v>
      </c>
      <c r="L20">
        <v>1.2</v>
      </c>
      <c r="M20">
        <f t="shared" si="0"/>
        <v>3.4349999999999999E-2</v>
      </c>
      <c r="N20">
        <f t="shared" si="1"/>
        <v>4.122E-2</v>
      </c>
      <c r="O20">
        <v>0.25</v>
      </c>
      <c r="P20">
        <v>103050000</v>
      </c>
    </row>
    <row r="21" spans="1:16" hidden="1" x14ac:dyDescent="0.15">
      <c r="A21" t="s">
        <v>24</v>
      </c>
      <c r="B21" t="s">
        <v>16</v>
      </c>
      <c r="C21">
        <v>2026</v>
      </c>
      <c r="D21">
        <v>55000</v>
      </c>
      <c r="E21">
        <v>165000</v>
      </c>
      <c r="F21">
        <v>0.56000000000000005</v>
      </c>
      <c r="G21">
        <v>0.20499999999999999</v>
      </c>
      <c r="H21">
        <v>0.76</v>
      </c>
      <c r="I21">
        <v>0.86</v>
      </c>
      <c r="J21">
        <v>8000</v>
      </c>
      <c r="K21">
        <v>7000</v>
      </c>
      <c r="L21">
        <v>1.19</v>
      </c>
      <c r="M21">
        <f t="shared" si="0"/>
        <v>3.908905E-2</v>
      </c>
      <c r="N21">
        <f t="shared" si="1"/>
        <v>4.6515969499999997E-2</v>
      </c>
      <c r="O21">
        <v>0.25</v>
      </c>
      <c r="P21">
        <v>116289923.75</v>
      </c>
    </row>
    <row r="22" spans="1:16" hidden="1" x14ac:dyDescent="0.15">
      <c r="A22" t="s">
        <v>24</v>
      </c>
      <c r="B22" t="s">
        <v>16</v>
      </c>
      <c r="C22">
        <v>2027</v>
      </c>
      <c r="D22">
        <v>60500</v>
      </c>
      <c r="E22">
        <v>181500</v>
      </c>
      <c r="F22">
        <v>0.56999999999999995</v>
      </c>
      <c r="G22">
        <v>0.21</v>
      </c>
      <c r="H22">
        <v>0.77</v>
      </c>
      <c r="I22">
        <v>0.87</v>
      </c>
      <c r="J22">
        <v>8000</v>
      </c>
      <c r="K22">
        <v>7000</v>
      </c>
      <c r="L22">
        <v>1.18</v>
      </c>
      <c r="M22">
        <f t="shared" si="0"/>
        <v>4.4454794999999998E-2</v>
      </c>
      <c r="N22">
        <f t="shared" si="1"/>
        <v>5.2456658099999998E-2</v>
      </c>
      <c r="O22">
        <v>0.25</v>
      </c>
      <c r="P22">
        <v>131141645.25</v>
      </c>
    </row>
    <row r="23" spans="1:16" hidden="1" x14ac:dyDescent="0.15">
      <c r="A23" t="s">
        <v>24</v>
      </c>
      <c r="B23" t="s">
        <v>16</v>
      </c>
      <c r="C23">
        <v>2028</v>
      </c>
      <c r="D23">
        <v>66550</v>
      </c>
      <c r="E23">
        <v>199650</v>
      </c>
      <c r="F23">
        <v>0.57999999999999996</v>
      </c>
      <c r="G23">
        <v>0.215</v>
      </c>
      <c r="H23">
        <v>0.78</v>
      </c>
      <c r="I23">
        <v>0.88</v>
      </c>
      <c r="J23">
        <v>8000</v>
      </c>
      <c r="K23">
        <v>7000</v>
      </c>
      <c r="L23">
        <v>1.17</v>
      </c>
      <c r="M23">
        <f t="shared" si="0"/>
        <v>5.0527422000000002E-2</v>
      </c>
      <c r="N23">
        <f t="shared" si="1"/>
        <v>5.911708374E-2</v>
      </c>
      <c r="O23">
        <v>0.25</v>
      </c>
      <c r="P23">
        <v>147792709.34999999</v>
      </c>
    </row>
    <row r="24" spans="1:16" hidden="1" x14ac:dyDescent="0.15">
      <c r="A24" t="s">
        <v>24</v>
      </c>
      <c r="B24" t="s">
        <v>16</v>
      </c>
      <c r="C24">
        <v>2029</v>
      </c>
      <c r="D24">
        <v>73200</v>
      </c>
      <c r="E24">
        <v>219600</v>
      </c>
      <c r="F24">
        <v>0.59</v>
      </c>
      <c r="G24">
        <v>0.22</v>
      </c>
      <c r="H24">
        <v>0.79</v>
      </c>
      <c r="I24">
        <v>0.89</v>
      </c>
      <c r="J24">
        <v>8000</v>
      </c>
      <c r="K24">
        <v>7000</v>
      </c>
      <c r="L24">
        <v>1.1599999999999999</v>
      </c>
      <c r="M24">
        <f t="shared" si="0"/>
        <v>5.7393191999999996E-2</v>
      </c>
      <c r="N24">
        <f t="shared" si="1"/>
        <v>6.6576102719999988E-2</v>
      </c>
      <c r="O24">
        <v>0.25</v>
      </c>
      <c r="P24">
        <v>166440256.80000001</v>
      </c>
    </row>
    <row r="25" spans="1:16" hidden="1" x14ac:dyDescent="0.15">
      <c r="A25" t="s">
        <v>24</v>
      </c>
      <c r="B25" t="s">
        <v>16</v>
      </c>
      <c r="C25">
        <v>2030</v>
      </c>
      <c r="D25">
        <v>80500</v>
      </c>
      <c r="E25">
        <v>241600</v>
      </c>
      <c r="F25">
        <v>0.6</v>
      </c>
      <c r="G25">
        <v>0.22500000000000001</v>
      </c>
      <c r="H25">
        <v>0.8</v>
      </c>
      <c r="I25">
        <v>0.9</v>
      </c>
      <c r="J25">
        <v>8000</v>
      </c>
      <c r="K25">
        <v>7000</v>
      </c>
      <c r="L25">
        <v>1.1499999999999999</v>
      </c>
      <c r="M25">
        <f t="shared" si="0"/>
        <v>6.5158800000000003E-2</v>
      </c>
      <c r="N25">
        <f t="shared" si="1"/>
        <v>7.4932620000000005E-2</v>
      </c>
      <c r="O25">
        <v>0.25</v>
      </c>
      <c r="P25">
        <v>187331550</v>
      </c>
    </row>
    <row r="26" spans="1:16" hidden="1" x14ac:dyDescent="0.15">
      <c r="A26" t="s">
        <v>24</v>
      </c>
      <c r="B26" t="s">
        <v>17</v>
      </c>
      <c r="C26">
        <v>2026</v>
      </c>
      <c r="D26">
        <v>50000</v>
      </c>
      <c r="E26">
        <v>150000</v>
      </c>
      <c r="F26">
        <v>0.55000000000000004</v>
      </c>
      <c r="G26">
        <v>0.2</v>
      </c>
      <c r="H26">
        <v>0.75</v>
      </c>
      <c r="I26">
        <v>0.65</v>
      </c>
      <c r="J26">
        <v>6000</v>
      </c>
      <c r="K26">
        <v>7000</v>
      </c>
      <c r="L26">
        <v>1.42</v>
      </c>
      <c r="M26">
        <f t="shared" si="0"/>
        <v>2.6025000000000003E-2</v>
      </c>
      <c r="N26">
        <f t="shared" si="1"/>
        <v>3.6955500000000002E-2</v>
      </c>
      <c r="O26">
        <v>0.6</v>
      </c>
      <c r="P26">
        <v>221733000</v>
      </c>
    </row>
    <row r="27" spans="1:16" hidden="1" x14ac:dyDescent="0.15">
      <c r="A27" t="s">
        <v>24</v>
      </c>
      <c r="B27" t="s">
        <v>17</v>
      </c>
      <c r="C27">
        <v>2027</v>
      </c>
      <c r="D27">
        <v>52500</v>
      </c>
      <c r="E27">
        <v>157500</v>
      </c>
      <c r="F27">
        <v>0.56000000000000005</v>
      </c>
      <c r="G27">
        <v>0.20499999999999999</v>
      </c>
      <c r="H27">
        <v>0.76</v>
      </c>
      <c r="I27">
        <v>0.66</v>
      </c>
      <c r="J27">
        <v>6000</v>
      </c>
      <c r="K27">
        <v>7000</v>
      </c>
      <c r="L27">
        <v>1.44</v>
      </c>
      <c r="M27">
        <f t="shared" si="0"/>
        <v>2.8323225E-2</v>
      </c>
      <c r="N27">
        <f t="shared" si="1"/>
        <v>4.0785443999999997E-2</v>
      </c>
      <c r="O27">
        <v>0.6</v>
      </c>
      <c r="P27">
        <v>244712664</v>
      </c>
    </row>
    <row r="28" spans="1:16" hidden="1" x14ac:dyDescent="0.15">
      <c r="A28" t="s">
        <v>24</v>
      </c>
      <c r="B28" t="s">
        <v>17</v>
      </c>
      <c r="C28">
        <v>2028</v>
      </c>
      <c r="D28">
        <v>55000</v>
      </c>
      <c r="E28">
        <v>165000</v>
      </c>
      <c r="F28">
        <v>0.56999999999999995</v>
      </c>
      <c r="G28">
        <v>0.21</v>
      </c>
      <c r="H28">
        <v>0.77</v>
      </c>
      <c r="I28">
        <v>0.67</v>
      </c>
      <c r="J28">
        <v>6000</v>
      </c>
      <c r="K28">
        <v>7000</v>
      </c>
      <c r="L28">
        <v>1.46</v>
      </c>
      <c r="M28">
        <f t="shared" si="0"/>
        <v>3.0734549999999999E-2</v>
      </c>
      <c r="N28">
        <f t="shared" si="1"/>
        <v>4.4872442999999998E-2</v>
      </c>
      <c r="O28">
        <v>0.6</v>
      </c>
      <c r="P28">
        <v>269234658</v>
      </c>
    </row>
    <row r="29" spans="1:16" hidden="1" x14ac:dyDescent="0.15">
      <c r="A29" t="s">
        <v>24</v>
      </c>
      <c r="B29" t="s">
        <v>17</v>
      </c>
      <c r="C29">
        <v>2029</v>
      </c>
      <c r="D29">
        <v>57500</v>
      </c>
      <c r="E29">
        <v>172500</v>
      </c>
      <c r="F29">
        <v>0.57999999999999996</v>
      </c>
      <c r="G29">
        <v>0.215</v>
      </c>
      <c r="H29">
        <v>0.78</v>
      </c>
      <c r="I29">
        <v>0.68</v>
      </c>
      <c r="J29">
        <v>6000</v>
      </c>
      <c r="K29">
        <v>7000</v>
      </c>
      <c r="L29">
        <v>1.48</v>
      </c>
      <c r="M29">
        <f t="shared" si="0"/>
        <v>3.3261449999999998E-2</v>
      </c>
      <c r="N29">
        <f t="shared" si="1"/>
        <v>4.9226946000000001E-2</v>
      </c>
      <c r="O29">
        <v>0.6</v>
      </c>
      <c r="P29">
        <v>295361676</v>
      </c>
    </row>
    <row r="30" spans="1:16" hidden="1" x14ac:dyDescent="0.15">
      <c r="A30" t="s">
        <v>24</v>
      </c>
      <c r="B30" t="s">
        <v>17</v>
      </c>
      <c r="C30">
        <v>2030</v>
      </c>
      <c r="D30">
        <v>60000</v>
      </c>
      <c r="E30">
        <v>180000</v>
      </c>
      <c r="F30">
        <v>0.59</v>
      </c>
      <c r="G30">
        <v>0.22</v>
      </c>
      <c r="H30">
        <v>0.79</v>
      </c>
      <c r="I30">
        <v>0.69</v>
      </c>
      <c r="J30">
        <v>6000</v>
      </c>
      <c r="K30">
        <v>7000</v>
      </c>
      <c r="L30">
        <v>1.5</v>
      </c>
      <c r="M30">
        <f t="shared" si="0"/>
        <v>3.5906399999999998E-2</v>
      </c>
      <c r="N30">
        <f t="shared" si="1"/>
        <v>5.3859600000000001E-2</v>
      </c>
      <c r="O30">
        <v>0.6</v>
      </c>
      <c r="P30">
        <v>323157600</v>
      </c>
    </row>
    <row r="31" spans="1:16" hidden="1" x14ac:dyDescent="0.15">
      <c r="A31" t="s">
        <v>24</v>
      </c>
      <c r="B31" t="s">
        <v>18</v>
      </c>
      <c r="C31">
        <v>2026</v>
      </c>
      <c r="D31">
        <v>50000</v>
      </c>
      <c r="E31">
        <v>150000</v>
      </c>
      <c r="F31">
        <v>0.55000000000000004</v>
      </c>
      <c r="G31">
        <v>0.2</v>
      </c>
      <c r="H31">
        <v>0.75</v>
      </c>
      <c r="I31">
        <v>0.85</v>
      </c>
      <c r="J31">
        <v>6000</v>
      </c>
      <c r="K31">
        <v>7000</v>
      </c>
      <c r="L31">
        <v>1.18</v>
      </c>
      <c r="M31">
        <f t="shared" si="0"/>
        <v>3.0225000000000005E-2</v>
      </c>
      <c r="N31">
        <f t="shared" si="1"/>
        <v>3.5665500000000003E-2</v>
      </c>
      <c r="O31">
        <v>0.25</v>
      </c>
      <c r="P31">
        <v>89163750</v>
      </c>
    </row>
    <row r="32" spans="1:16" hidden="1" x14ac:dyDescent="0.15">
      <c r="A32" t="s">
        <v>24</v>
      </c>
      <c r="B32" t="s">
        <v>18</v>
      </c>
      <c r="C32">
        <v>2027</v>
      </c>
      <c r="D32">
        <v>52500</v>
      </c>
      <c r="E32">
        <v>165000</v>
      </c>
      <c r="F32">
        <v>0.54</v>
      </c>
      <c r="G32">
        <v>0.19800000000000001</v>
      </c>
      <c r="H32">
        <v>0.76</v>
      </c>
      <c r="I32">
        <v>0.86</v>
      </c>
      <c r="J32">
        <v>6000</v>
      </c>
      <c r="K32">
        <v>7000</v>
      </c>
      <c r="L32">
        <v>1.1599999999999999</v>
      </c>
      <c r="M32">
        <f t="shared" si="0"/>
        <v>3.2594940000000003E-2</v>
      </c>
      <c r="N32">
        <f t="shared" si="1"/>
        <v>3.7810130400000003E-2</v>
      </c>
      <c r="O32">
        <v>0.25</v>
      </c>
      <c r="P32">
        <v>94525326</v>
      </c>
    </row>
    <row r="33" spans="1:16" hidden="1" x14ac:dyDescent="0.15">
      <c r="A33" t="s">
        <v>24</v>
      </c>
      <c r="B33" t="s">
        <v>18</v>
      </c>
      <c r="C33">
        <v>2028</v>
      </c>
      <c r="D33">
        <v>57750</v>
      </c>
      <c r="E33">
        <v>181500</v>
      </c>
      <c r="F33">
        <v>0.53</v>
      </c>
      <c r="G33">
        <v>0.19600000000000001</v>
      </c>
      <c r="H33">
        <v>0.77</v>
      </c>
      <c r="I33">
        <v>0.87</v>
      </c>
      <c r="J33">
        <v>6000</v>
      </c>
      <c r="K33">
        <v>7000</v>
      </c>
      <c r="L33">
        <v>1.1399999999999999</v>
      </c>
      <c r="M33">
        <f t="shared" si="0"/>
        <v>3.5805231E-2</v>
      </c>
      <c r="N33">
        <f t="shared" si="1"/>
        <v>4.0817963339999999E-2</v>
      </c>
      <c r="O33">
        <v>0.25</v>
      </c>
      <c r="P33">
        <v>102044908.34999999</v>
      </c>
    </row>
    <row r="34" spans="1:16" hidden="1" x14ac:dyDescent="0.15">
      <c r="A34" t="s">
        <v>24</v>
      </c>
      <c r="B34" t="s">
        <v>18</v>
      </c>
      <c r="C34">
        <v>2029</v>
      </c>
      <c r="D34">
        <v>63525</v>
      </c>
      <c r="E34">
        <v>199650</v>
      </c>
      <c r="F34">
        <v>0.52</v>
      </c>
      <c r="G34">
        <v>0.19400000000000001</v>
      </c>
      <c r="H34">
        <v>0.78</v>
      </c>
      <c r="I34">
        <v>0.88</v>
      </c>
      <c r="J34">
        <v>6000</v>
      </c>
      <c r="K34">
        <v>7000</v>
      </c>
      <c r="L34">
        <v>1.1200000000000001</v>
      </c>
      <c r="M34">
        <f t="shared" si="0"/>
        <v>3.9318417600000002E-2</v>
      </c>
      <c r="N34">
        <f t="shared" si="1"/>
        <v>4.4036627712000009E-2</v>
      </c>
      <c r="O34">
        <v>0.25</v>
      </c>
      <c r="P34">
        <v>110091569.28</v>
      </c>
    </row>
    <row r="35" spans="1:16" hidden="1" x14ac:dyDescent="0.15">
      <c r="A35" t="s">
        <v>24</v>
      </c>
      <c r="B35" t="s">
        <v>18</v>
      </c>
      <c r="C35">
        <v>2030</v>
      </c>
      <c r="D35">
        <v>69877</v>
      </c>
      <c r="E35">
        <v>219615</v>
      </c>
      <c r="F35">
        <v>0.51</v>
      </c>
      <c r="G35">
        <v>0.192</v>
      </c>
      <c r="H35">
        <v>0.79</v>
      </c>
      <c r="I35">
        <v>0.89</v>
      </c>
      <c r="J35">
        <v>6000</v>
      </c>
      <c r="K35">
        <v>7000</v>
      </c>
      <c r="L35">
        <v>1.1000000000000001</v>
      </c>
      <c r="M35">
        <f t="shared" si="0"/>
        <v>4.3161533820000007E-2</v>
      </c>
      <c r="N35">
        <f t="shared" si="1"/>
        <v>4.7477687202000012E-2</v>
      </c>
      <c r="O35">
        <v>0.25</v>
      </c>
      <c r="P35">
        <v>118694218.005</v>
      </c>
    </row>
    <row r="36" spans="1:16" hidden="1" x14ac:dyDescent="0.15">
      <c r="A36" t="s">
        <v>24</v>
      </c>
      <c r="B36" t="s">
        <v>19</v>
      </c>
      <c r="C36">
        <v>2025</v>
      </c>
      <c r="D36">
        <v>50000</v>
      </c>
      <c r="E36">
        <v>150000</v>
      </c>
      <c r="F36">
        <v>0.55000000000000004</v>
      </c>
      <c r="G36">
        <v>0.2</v>
      </c>
      <c r="H36">
        <v>0.75</v>
      </c>
      <c r="I36">
        <v>0.85</v>
      </c>
      <c r="J36">
        <v>6000</v>
      </c>
      <c r="K36">
        <v>7000</v>
      </c>
      <c r="L36">
        <v>1.2</v>
      </c>
      <c r="M36">
        <f t="shared" si="0"/>
        <v>3.0224999999999998E-2</v>
      </c>
      <c r="N36">
        <f t="shared" si="1"/>
        <v>3.6269999999999997E-2</v>
      </c>
      <c r="O36">
        <v>0.2</v>
      </c>
      <c r="P36">
        <v>72540000</v>
      </c>
    </row>
    <row r="37" spans="1:16" hidden="1" x14ac:dyDescent="0.15">
      <c r="A37" t="s">
        <v>24</v>
      </c>
      <c r="B37" t="s">
        <v>19</v>
      </c>
      <c r="C37">
        <v>2026</v>
      </c>
      <c r="D37">
        <v>55000</v>
      </c>
      <c r="E37">
        <v>165000</v>
      </c>
      <c r="F37">
        <v>0.56000000000000005</v>
      </c>
      <c r="G37">
        <v>0.20499999999999999</v>
      </c>
      <c r="H37">
        <v>0.76</v>
      </c>
      <c r="I37">
        <v>0.86</v>
      </c>
      <c r="J37">
        <v>6000</v>
      </c>
      <c r="K37">
        <v>7000</v>
      </c>
      <c r="L37">
        <v>1.18</v>
      </c>
      <c r="M37">
        <f t="shared" si="0"/>
        <v>3.4407449999999999E-2</v>
      </c>
      <c r="N37">
        <f t="shared" si="1"/>
        <v>4.0600790999999997E-2</v>
      </c>
      <c r="O37">
        <v>0.2</v>
      </c>
      <c r="P37">
        <v>81201582</v>
      </c>
    </row>
    <row r="38" spans="1:16" hidden="1" x14ac:dyDescent="0.15">
      <c r="A38" t="s">
        <v>24</v>
      </c>
      <c r="B38" t="s">
        <v>19</v>
      </c>
      <c r="C38">
        <v>2027</v>
      </c>
      <c r="D38">
        <v>60500</v>
      </c>
      <c r="E38">
        <v>181500</v>
      </c>
      <c r="F38">
        <v>0.56999999999999995</v>
      </c>
      <c r="G38">
        <v>0.21</v>
      </c>
      <c r="H38">
        <v>0.77</v>
      </c>
      <c r="I38">
        <v>0.87</v>
      </c>
      <c r="J38">
        <v>6000</v>
      </c>
      <c r="K38">
        <v>7000</v>
      </c>
      <c r="L38">
        <v>1.1599999999999999</v>
      </c>
      <c r="M38">
        <f t="shared" si="0"/>
        <v>3.9144104999999998E-2</v>
      </c>
      <c r="N38">
        <f t="shared" si="1"/>
        <v>4.5407161799999991E-2</v>
      </c>
      <c r="O38">
        <v>0.2</v>
      </c>
      <c r="P38">
        <v>90814323.599999994</v>
      </c>
    </row>
    <row r="39" spans="1:16" hidden="1" x14ac:dyDescent="0.15">
      <c r="A39" t="s">
        <v>24</v>
      </c>
      <c r="B39" t="s">
        <v>19</v>
      </c>
      <c r="C39">
        <v>2028</v>
      </c>
      <c r="D39">
        <v>66550</v>
      </c>
      <c r="E39">
        <v>199650</v>
      </c>
      <c r="F39">
        <v>0.57999999999999996</v>
      </c>
      <c r="G39">
        <v>0.215</v>
      </c>
      <c r="H39">
        <v>0.78</v>
      </c>
      <c r="I39">
        <v>0.88</v>
      </c>
      <c r="J39">
        <v>6000</v>
      </c>
      <c r="K39">
        <v>7000</v>
      </c>
      <c r="L39">
        <v>1.1399999999999999</v>
      </c>
      <c r="M39">
        <f t="shared" si="0"/>
        <v>4.4505977999999995E-2</v>
      </c>
      <c r="N39">
        <f t="shared" si="1"/>
        <v>5.0736814919999991E-2</v>
      </c>
      <c r="O39">
        <v>0.2</v>
      </c>
      <c r="P39">
        <v>101473629.84</v>
      </c>
    </row>
    <row r="40" spans="1:16" hidden="1" x14ac:dyDescent="0.15">
      <c r="A40" t="s">
        <v>24</v>
      </c>
      <c r="B40" t="s">
        <v>19</v>
      </c>
      <c r="C40">
        <v>2029</v>
      </c>
      <c r="D40">
        <v>73205</v>
      </c>
      <c r="E40">
        <v>219615</v>
      </c>
      <c r="F40">
        <v>0.59</v>
      </c>
      <c r="G40">
        <v>0.22</v>
      </c>
      <c r="H40">
        <v>0.79</v>
      </c>
      <c r="I40">
        <v>0.89</v>
      </c>
      <c r="J40">
        <v>6000</v>
      </c>
      <c r="K40">
        <v>7000</v>
      </c>
      <c r="L40">
        <v>1.1200000000000001</v>
      </c>
      <c r="M40">
        <f t="shared" si="0"/>
        <v>5.0572942200000005E-2</v>
      </c>
      <c r="N40">
        <f t="shared" si="1"/>
        <v>5.6641695264000008E-2</v>
      </c>
      <c r="O40">
        <v>0.2</v>
      </c>
      <c r="P40">
        <v>113283390.528</v>
      </c>
    </row>
    <row r="41" spans="1:16" hidden="1" x14ac:dyDescent="0.15">
      <c r="A41" t="s">
        <v>24</v>
      </c>
      <c r="B41" t="s">
        <v>19</v>
      </c>
      <c r="C41">
        <v>2030</v>
      </c>
      <c r="D41">
        <v>80525</v>
      </c>
      <c r="E41">
        <v>241576</v>
      </c>
      <c r="F41">
        <v>0.6</v>
      </c>
      <c r="G41">
        <v>0.22500000000000001</v>
      </c>
      <c r="H41">
        <v>0.8</v>
      </c>
      <c r="I41">
        <v>0.9</v>
      </c>
      <c r="J41">
        <v>6000</v>
      </c>
      <c r="K41">
        <v>7000</v>
      </c>
      <c r="L41">
        <v>1.1000000000000001</v>
      </c>
      <c r="M41">
        <f t="shared" si="0"/>
        <v>5.7434598000000003E-2</v>
      </c>
      <c r="N41">
        <f t="shared" si="1"/>
        <v>6.3178057800000006E-2</v>
      </c>
      <c r="O41">
        <v>0.2</v>
      </c>
      <c r="P41">
        <v>126356115.59999999</v>
      </c>
    </row>
    <row r="42" spans="1:16" x14ac:dyDescent="0.15">
      <c r="A42" t="s">
        <v>24</v>
      </c>
      <c r="B42" t="s">
        <v>20</v>
      </c>
      <c r="C42">
        <v>2025</v>
      </c>
      <c r="D42">
        <v>40000</v>
      </c>
      <c r="E42">
        <v>130000</v>
      </c>
      <c r="F42">
        <v>0.55000000000000004</v>
      </c>
      <c r="G42">
        <v>0.2</v>
      </c>
      <c r="H42">
        <v>0.75</v>
      </c>
      <c r="I42">
        <v>0.85</v>
      </c>
      <c r="J42">
        <v>7200</v>
      </c>
      <c r="K42">
        <v>8400</v>
      </c>
      <c r="L42">
        <v>1.2</v>
      </c>
      <c r="M42">
        <f t="shared" si="0"/>
        <v>3.0443999999999999E-2</v>
      </c>
      <c r="N42">
        <f t="shared" si="1"/>
        <v>3.6532799999999997E-2</v>
      </c>
      <c r="O42">
        <v>0.4</v>
      </c>
      <c r="P42">
        <v>174096000</v>
      </c>
    </row>
    <row r="43" spans="1:16" x14ac:dyDescent="0.15">
      <c r="A43" t="s">
        <v>24</v>
      </c>
      <c r="B43" t="s">
        <v>20</v>
      </c>
      <c r="C43">
        <v>2026</v>
      </c>
      <c r="D43">
        <v>55000</v>
      </c>
      <c r="E43">
        <v>165000</v>
      </c>
      <c r="F43">
        <v>0.55300000000000005</v>
      </c>
      <c r="G43">
        <v>0.20200000000000001</v>
      </c>
      <c r="H43">
        <v>0.76</v>
      </c>
      <c r="I43">
        <v>0.86</v>
      </c>
      <c r="J43">
        <v>7200</v>
      </c>
      <c r="K43">
        <v>8400</v>
      </c>
      <c r="L43">
        <v>1.18</v>
      </c>
      <c r="M43">
        <f t="shared" si="0"/>
        <v>4.0720680000000002E-2</v>
      </c>
      <c r="N43">
        <f t="shared" si="1"/>
        <v>4.8050402399999997E-2</v>
      </c>
      <c r="O43">
        <v>0.4</v>
      </c>
      <c r="P43">
        <v>192201609.59999999</v>
      </c>
    </row>
    <row r="44" spans="1:16" x14ac:dyDescent="0.15">
      <c r="A44" t="s">
        <v>24</v>
      </c>
      <c r="B44" t="s">
        <v>20</v>
      </c>
      <c r="C44">
        <v>2027</v>
      </c>
      <c r="D44">
        <v>60500</v>
      </c>
      <c r="E44">
        <v>181500</v>
      </c>
      <c r="F44">
        <v>0.55600000000000005</v>
      </c>
      <c r="G44">
        <v>0.20399999999999999</v>
      </c>
      <c r="H44">
        <v>0.77</v>
      </c>
      <c r="I44">
        <v>0.87</v>
      </c>
      <c r="J44">
        <v>7200</v>
      </c>
      <c r="K44">
        <v>8400</v>
      </c>
      <c r="L44">
        <v>1.1599999999999999</v>
      </c>
      <c r="M44">
        <f t="shared" si="0"/>
        <v>4.5707508000000001E-2</v>
      </c>
      <c r="N44">
        <f t="shared" si="1"/>
        <v>5.3020709279999995E-2</v>
      </c>
      <c r="O44">
        <v>0.4</v>
      </c>
      <c r="P44">
        <v>212082837.12</v>
      </c>
    </row>
    <row r="45" spans="1:16" x14ac:dyDescent="0.15">
      <c r="A45" t="s">
        <v>24</v>
      </c>
      <c r="B45" t="s">
        <v>20</v>
      </c>
      <c r="C45">
        <v>2028</v>
      </c>
      <c r="D45">
        <v>66550</v>
      </c>
      <c r="E45">
        <v>199650</v>
      </c>
      <c r="F45">
        <v>0.55900000000000005</v>
      </c>
      <c r="G45">
        <v>0.20799999999999999</v>
      </c>
      <c r="H45">
        <v>0.78</v>
      </c>
      <c r="I45">
        <v>0.88</v>
      </c>
      <c r="J45">
        <v>7200</v>
      </c>
      <c r="K45">
        <v>8400</v>
      </c>
      <c r="L45">
        <v>1.1399999999999999</v>
      </c>
      <c r="M45">
        <f t="shared" si="0"/>
        <v>5.1589240559999999E-2</v>
      </c>
      <c r="N45">
        <f t="shared" si="1"/>
        <v>5.8811734238399992E-2</v>
      </c>
      <c r="O45">
        <v>0.4</v>
      </c>
      <c r="P45">
        <v>235246936.95359999</v>
      </c>
    </row>
    <row r="46" spans="1:16" x14ac:dyDescent="0.15">
      <c r="A46" t="s">
        <v>24</v>
      </c>
      <c r="B46" t="s">
        <v>20</v>
      </c>
      <c r="C46">
        <v>2029</v>
      </c>
      <c r="D46">
        <v>73200</v>
      </c>
      <c r="E46">
        <v>219600</v>
      </c>
      <c r="F46">
        <v>0.56200000000000006</v>
      </c>
      <c r="G46">
        <v>0.21199999999999999</v>
      </c>
      <c r="H46">
        <v>0.79</v>
      </c>
      <c r="I46">
        <v>0.89</v>
      </c>
      <c r="J46">
        <v>7200</v>
      </c>
      <c r="K46">
        <v>8400</v>
      </c>
      <c r="L46">
        <v>1.1200000000000001</v>
      </c>
      <c r="M46">
        <f t="shared" si="0"/>
        <v>5.8204189439999998E-2</v>
      </c>
      <c r="N46">
        <f t="shared" si="1"/>
        <v>6.5188692172800003E-2</v>
      </c>
      <c r="O46">
        <v>0.4</v>
      </c>
      <c r="P46">
        <v>260754768.69119999</v>
      </c>
    </row>
    <row r="47" spans="1:16" x14ac:dyDescent="0.15">
      <c r="A47" t="s">
        <v>24</v>
      </c>
      <c r="B47" t="s">
        <v>20</v>
      </c>
      <c r="C47">
        <v>2030</v>
      </c>
      <c r="D47">
        <v>80500</v>
      </c>
      <c r="E47">
        <v>240600</v>
      </c>
      <c r="F47">
        <v>0.56499999999999995</v>
      </c>
      <c r="G47">
        <v>0.216</v>
      </c>
      <c r="H47">
        <v>0.8</v>
      </c>
      <c r="I47">
        <v>0.9</v>
      </c>
      <c r="J47">
        <v>7200</v>
      </c>
      <c r="K47">
        <v>8400</v>
      </c>
      <c r="L47">
        <v>1.1000000000000001</v>
      </c>
      <c r="M47">
        <f t="shared" si="0"/>
        <v>6.5486937600000003E-2</v>
      </c>
      <c r="N47">
        <f t="shared" si="1"/>
        <v>7.2035631360000005E-2</v>
      </c>
      <c r="O47">
        <v>0.4</v>
      </c>
      <c r="P47">
        <v>288142525.44</v>
      </c>
    </row>
    <row r="48" spans="1:16" hidden="1" x14ac:dyDescent="0.15">
      <c r="A48" t="s">
        <v>24</v>
      </c>
      <c r="B48" t="s">
        <v>21</v>
      </c>
      <c r="C48">
        <v>2025</v>
      </c>
      <c r="D48">
        <v>45000</v>
      </c>
      <c r="E48">
        <v>150000</v>
      </c>
      <c r="F48">
        <v>0.55000000000000004</v>
      </c>
      <c r="G48">
        <v>0.25</v>
      </c>
      <c r="H48">
        <v>0.75</v>
      </c>
      <c r="I48">
        <v>0.7</v>
      </c>
      <c r="J48">
        <v>4000</v>
      </c>
      <c r="K48">
        <v>4500</v>
      </c>
      <c r="L48">
        <v>1.4</v>
      </c>
      <c r="M48">
        <f t="shared" si="0"/>
        <v>1.9237500000000001E-2</v>
      </c>
      <c r="N48">
        <f t="shared" si="1"/>
        <v>2.6932500000000002E-2</v>
      </c>
      <c r="O48">
        <v>0.9</v>
      </c>
      <c r="P48">
        <v>223484062.50000003</v>
      </c>
    </row>
    <row r="49" spans="1:16" hidden="1" x14ac:dyDescent="0.15">
      <c r="A49" t="s">
        <v>24</v>
      </c>
      <c r="B49" t="s">
        <v>21</v>
      </c>
      <c r="C49">
        <v>2026</v>
      </c>
      <c r="D49">
        <v>45000</v>
      </c>
      <c r="E49">
        <v>150000</v>
      </c>
      <c r="F49">
        <v>0.55000000000000004</v>
      </c>
      <c r="G49">
        <v>0.25</v>
      </c>
      <c r="H49">
        <v>0.75</v>
      </c>
      <c r="I49">
        <v>0.65</v>
      </c>
      <c r="J49">
        <v>4000</v>
      </c>
      <c r="K49">
        <v>4500</v>
      </c>
      <c r="L49">
        <v>1.35</v>
      </c>
      <c r="M49">
        <f t="shared" si="0"/>
        <v>1.8393750000000004E-2</v>
      </c>
      <c r="N49">
        <f t="shared" si="1"/>
        <v>2.4831562500000005E-2</v>
      </c>
      <c r="O49">
        <v>0.9</v>
      </c>
      <c r="P49">
        <v>223484062.5</v>
      </c>
    </row>
    <row r="50" spans="1:16" hidden="1" x14ac:dyDescent="0.15">
      <c r="A50" t="s">
        <v>24</v>
      </c>
      <c r="B50" t="s">
        <v>21</v>
      </c>
      <c r="C50">
        <v>2027</v>
      </c>
      <c r="D50">
        <v>47250</v>
      </c>
      <c r="E50">
        <v>157500</v>
      </c>
      <c r="F50">
        <v>0.55300000000000005</v>
      </c>
      <c r="G50">
        <v>0.253</v>
      </c>
      <c r="H50">
        <v>0.76</v>
      </c>
      <c r="I50">
        <v>0.66</v>
      </c>
      <c r="J50">
        <v>4000</v>
      </c>
      <c r="K50">
        <v>4500</v>
      </c>
      <c r="L50">
        <v>1.34</v>
      </c>
      <c r="M50">
        <f t="shared" si="0"/>
        <v>1.9777999500000004E-2</v>
      </c>
      <c r="N50">
        <f t="shared" si="1"/>
        <v>2.6502519330000005E-2</v>
      </c>
      <c r="O50">
        <v>0.9</v>
      </c>
      <c r="P50">
        <v>238522673.97</v>
      </c>
    </row>
    <row r="51" spans="1:16" hidden="1" x14ac:dyDescent="0.15">
      <c r="A51" t="s">
        <v>24</v>
      </c>
      <c r="B51" t="s">
        <v>21</v>
      </c>
      <c r="C51">
        <v>2028</v>
      </c>
      <c r="D51">
        <v>49575</v>
      </c>
      <c r="E51">
        <v>165750</v>
      </c>
      <c r="F51">
        <v>0.55600000000000005</v>
      </c>
      <c r="G51">
        <v>0.25600000000000001</v>
      </c>
      <c r="H51">
        <v>0.77</v>
      </c>
      <c r="I51">
        <v>0.67</v>
      </c>
      <c r="J51">
        <v>4000</v>
      </c>
      <c r="K51">
        <v>4500</v>
      </c>
      <c r="L51">
        <v>1.33</v>
      </c>
      <c r="M51">
        <f t="shared" si="0"/>
        <v>2.1282867600000002E-2</v>
      </c>
      <c r="N51">
        <f t="shared" si="1"/>
        <v>2.8306213908000005E-2</v>
      </c>
      <c r="O51">
        <v>0.9</v>
      </c>
      <c r="P51">
        <v>254755925.17199999</v>
      </c>
    </row>
    <row r="52" spans="1:16" hidden="1" x14ac:dyDescent="0.15">
      <c r="A52" t="s">
        <v>24</v>
      </c>
      <c r="B52" t="s">
        <v>21</v>
      </c>
      <c r="C52">
        <v>2029</v>
      </c>
      <c r="D52">
        <v>52050</v>
      </c>
      <c r="E52">
        <v>174000</v>
      </c>
      <c r="F52">
        <v>0.55900000000000005</v>
      </c>
      <c r="G52">
        <v>0.25900000000000001</v>
      </c>
      <c r="H52">
        <v>0.78</v>
      </c>
      <c r="I52">
        <v>0.68</v>
      </c>
      <c r="J52">
        <v>4000</v>
      </c>
      <c r="K52">
        <v>4500</v>
      </c>
      <c r="L52">
        <v>1.32</v>
      </c>
      <c r="M52">
        <f t="shared" si="0"/>
        <v>2.2868132400000001E-2</v>
      </c>
      <c r="N52">
        <f t="shared" si="1"/>
        <v>3.0185934768000001E-2</v>
      </c>
      <c r="O52">
        <v>0.9</v>
      </c>
      <c r="P52">
        <v>271673412.912</v>
      </c>
    </row>
    <row r="53" spans="1:16" hidden="1" x14ac:dyDescent="0.15">
      <c r="A53" t="s">
        <v>24</v>
      </c>
      <c r="B53" t="s">
        <v>21</v>
      </c>
      <c r="C53">
        <v>2030</v>
      </c>
      <c r="D53">
        <v>54600</v>
      </c>
      <c r="E53">
        <v>182250</v>
      </c>
      <c r="F53">
        <v>0.56200000000000006</v>
      </c>
      <c r="G53">
        <v>0.26200000000000001</v>
      </c>
      <c r="H53">
        <v>0.79</v>
      </c>
      <c r="I53">
        <v>0.69</v>
      </c>
      <c r="J53">
        <v>4000</v>
      </c>
      <c r="K53">
        <v>4500</v>
      </c>
      <c r="L53">
        <v>1.31</v>
      </c>
      <c r="M53">
        <f t="shared" si="0"/>
        <v>2.4522742950000002E-2</v>
      </c>
      <c r="N53">
        <f t="shared" si="1"/>
        <v>3.2124793264500004E-2</v>
      </c>
      <c r="O53">
        <v>0.9</v>
      </c>
      <c r="P53">
        <v>289123139.38050002</v>
      </c>
    </row>
    <row r="54" spans="1:16" hidden="1" x14ac:dyDescent="0.15">
      <c r="A54" t="s">
        <v>24</v>
      </c>
      <c r="B54" t="s">
        <v>22</v>
      </c>
      <c r="C54">
        <v>2025</v>
      </c>
      <c r="D54">
        <v>50000</v>
      </c>
      <c r="E54">
        <v>150000</v>
      </c>
      <c r="F54">
        <v>0.55000000000000004</v>
      </c>
      <c r="G54">
        <v>0.2</v>
      </c>
      <c r="H54">
        <v>0.75</v>
      </c>
      <c r="I54">
        <v>0.85</v>
      </c>
      <c r="J54">
        <v>4500</v>
      </c>
      <c r="K54">
        <v>6000</v>
      </c>
      <c r="L54">
        <v>1.2</v>
      </c>
      <c r="M54">
        <f t="shared" si="0"/>
        <v>2.4581249999999999E-2</v>
      </c>
      <c r="N54">
        <f t="shared" si="1"/>
        <v>2.9497499999999999E-2</v>
      </c>
      <c r="O54">
        <v>0.15</v>
      </c>
      <c r="P54">
        <v>44246250</v>
      </c>
    </row>
    <row r="55" spans="1:16" hidden="1" x14ac:dyDescent="0.15">
      <c r="A55" t="s">
        <v>24</v>
      </c>
      <c r="B55" t="s">
        <v>22</v>
      </c>
      <c r="C55">
        <v>2026</v>
      </c>
      <c r="D55">
        <v>55000</v>
      </c>
      <c r="E55">
        <v>165000</v>
      </c>
      <c r="F55">
        <v>0.54</v>
      </c>
      <c r="G55">
        <v>0.19800000000000001</v>
      </c>
      <c r="H55">
        <v>0.76</v>
      </c>
      <c r="I55">
        <v>0.86</v>
      </c>
      <c r="J55">
        <v>4500</v>
      </c>
      <c r="K55">
        <v>6000</v>
      </c>
      <c r="L55">
        <v>1.19</v>
      </c>
      <c r="M55">
        <f t="shared" si="0"/>
        <v>2.701512E-2</v>
      </c>
      <c r="N55">
        <f t="shared" si="1"/>
        <v>3.2147992799999997E-2</v>
      </c>
      <c r="O55">
        <v>0.15</v>
      </c>
      <c r="P55">
        <v>48221989.200000003</v>
      </c>
    </row>
    <row r="56" spans="1:16" hidden="1" x14ac:dyDescent="0.15">
      <c r="A56" t="s">
        <v>24</v>
      </c>
      <c r="B56" t="s">
        <v>22</v>
      </c>
      <c r="C56">
        <v>2027</v>
      </c>
      <c r="D56">
        <v>60500</v>
      </c>
      <c r="E56">
        <v>181500</v>
      </c>
      <c r="F56">
        <v>0.53</v>
      </c>
      <c r="G56">
        <v>0.19600000000000001</v>
      </c>
      <c r="H56">
        <v>0.77</v>
      </c>
      <c r="I56">
        <v>0.87</v>
      </c>
      <c r="J56">
        <v>4500</v>
      </c>
      <c r="K56">
        <v>6000</v>
      </c>
      <c r="L56">
        <v>1.18</v>
      </c>
      <c r="M56">
        <f t="shared" si="0"/>
        <v>2.9680150500000002E-2</v>
      </c>
      <c r="N56">
        <f t="shared" si="1"/>
        <v>3.5022577589999999E-2</v>
      </c>
      <c r="O56">
        <v>0.15</v>
      </c>
      <c r="P56">
        <v>52533866.384999998</v>
      </c>
    </row>
    <row r="57" spans="1:16" hidden="1" x14ac:dyDescent="0.15">
      <c r="A57" t="s">
        <v>24</v>
      </c>
      <c r="B57" t="s">
        <v>22</v>
      </c>
      <c r="C57">
        <v>2028</v>
      </c>
      <c r="D57">
        <v>66550</v>
      </c>
      <c r="E57">
        <v>199650</v>
      </c>
      <c r="F57">
        <v>0.52</v>
      </c>
      <c r="G57">
        <v>0.19400000000000001</v>
      </c>
      <c r="H57">
        <v>0.78</v>
      </c>
      <c r="I57">
        <v>0.88</v>
      </c>
      <c r="J57">
        <v>4500</v>
      </c>
      <c r="K57">
        <v>6000</v>
      </c>
      <c r="L57">
        <v>1.17</v>
      </c>
      <c r="M57">
        <f t="shared" si="0"/>
        <v>3.2597254799999996E-2</v>
      </c>
      <c r="N57">
        <f t="shared" si="1"/>
        <v>3.8138788115999994E-2</v>
      </c>
      <c r="O57">
        <v>0.15</v>
      </c>
      <c r="P57">
        <v>57208182.174000002</v>
      </c>
    </row>
    <row r="58" spans="1:16" hidden="1" x14ac:dyDescent="0.15">
      <c r="A58" t="s">
        <v>24</v>
      </c>
      <c r="B58" t="s">
        <v>22</v>
      </c>
      <c r="C58">
        <v>2029</v>
      </c>
      <c r="D58">
        <v>73205</v>
      </c>
      <c r="E58">
        <v>219615</v>
      </c>
      <c r="F58">
        <v>0.51</v>
      </c>
      <c r="G58">
        <v>0.192</v>
      </c>
      <c r="H58">
        <v>0.79</v>
      </c>
      <c r="I58">
        <v>0.89</v>
      </c>
      <c r="J58">
        <v>4500</v>
      </c>
      <c r="K58">
        <v>6000</v>
      </c>
      <c r="L58">
        <v>1.1599999999999999</v>
      </c>
      <c r="M58">
        <f t="shared" si="0"/>
        <v>3.5789119245000008E-2</v>
      </c>
      <c r="N58">
        <f t="shared" si="1"/>
        <v>4.1515378324200006E-2</v>
      </c>
      <c r="O58">
        <v>0.15</v>
      </c>
      <c r="P58">
        <v>62273067.486299999</v>
      </c>
    </row>
    <row r="59" spans="1:16" hidden="1" x14ac:dyDescent="0.15">
      <c r="A59" t="s">
        <v>24</v>
      </c>
      <c r="B59" t="s">
        <v>22</v>
      </c>
      <c r="C59">
        <v>2030</v>
      </c>
      <c r="D59">
        <v>80525</v>
      </c>
      <c r="E59">
        <v>241577</v>
      </c>
      <c r="F59">
        <v>0.5</v>
      </c>
      <c r="G59">
        <v>0.19</v>
      </c>
      <c r="H59">
        <v>0.8</v>
      </c>
      <c r="I59">
        <v>0.9</v>
      </c>
      <c r="J59">
        <v>4500</v>
      </c>
      <c r="K59">
        <v>6000</v>
      </c>
      <c r="L59">
        <v>1.1499999999999999</v>
      </c>
      <c r="M59">
        <f t="shared" si="0"/>
        <v>3.92803002E-2</v>
      </c>
      <c r="N59">
        <f t="shared" si="1"/>
        <v>4.5172345229999994E-2</v>
      </c>
      <c r="O59">
        <v>0.15</v>
      </c>
      <c r="P59">
        <v>67758429.352500007</v>
      </c>
    </row>
    <row r="60" spans="1:16" x14ac:dyDescent="0.15">
      <c r="A60" t="s">
        <v>32</v>
      </c>
      <c r="B60" t="s">
        <v>25</v>
      </c>
      <c r="C60">
        <v>2025</v>
      </c>
      <c r="D60">
        <v>50000</v>
      </c>
      <c r="E60">
        <v>150000</v>
      </c>
      <c r="F60">
        <v>0.55000000000000004</v>
      </c>
      <c r="G60">
        <v>0.2</v>
      </c>
      <c r="H60">
        <v>0.82</v>
      </c>
      <c r="I60">
        <v>0.85</v>
      </c>
      <c r="J60">
        <v>6000</v>
      </c>
      <c r="K60">
        <v>7000</v>
      </c>
      <c r="L60">
        <v>1.18</v>
      </c>
      <c r="M60">
        <f t="shared" si="0"/>
        <v>0.31380000000000002</v>
      </c>
      <c r="N60">
        <f t="shared" ref="N60:N65" si="2">(D60*F60*H60*J60+E60*G60*I60*K60)*L60/1000000000</f>
        <v>0.370284</v>
      </c>
      <c r="O60">
        <v>0.4</v>
      </c>
      <c r="P60">
        <v>137520000</v>
      </c>
    </row>
    <row r="61" spans="1:16" x14ac:dyDescent="0.15">
      <c r="A61" t="s">
        <v>32</v>
      </c>
      <c r="B61" t="s">
        <v>25</v>
      </c>
      <c r="C61">
        <v>2026</v>
      </c>
      <c r="D61">
        <v>55000</v>
      </c>
      <c r="E61">
        <v>165000</v>
      </c>
      <c r="F61">
        <v>0.56000000000000005</v>
      </c>
      <c r="G61">
        <v>0.20499999999999999</v>
      </c>
      <c r="H61">
        <v>0.76</v>
      </c>
      <c r="I61">
        <v>0.86</v>
      </c>
      <c r="J61">
        <v>6000</v>
      </c>
      <c r="K61">
        <v>7000</v>
      </c>
      <c r="L61">
        <v>1.17</v>
      </c>
      <c r="M61">
        <f t="shared" si="0"/>
        <v>0.34407450000000001</v>
      </c>
      <c r="N61">
        <f t="shared" si="2"/>
        <v>0.402567165</v>
      </c>
      <c r="O61">
        <v>0.4</v>
      </c>
      <c r="P61">
        <v>155341648</v>
      </c>
    </row>
    <row r="62" spans="1:16" x14ac:dyDescent="0.15">
      <c r="A62" t="s">
        <v>32</v>
      </c>
      <c r="B62" t="s">
        <v>25</v>
      </c>
      <c r="C62">
        <v>2027</v>
      </c>
      <c r="D62">
        <v>60500</v>
      </c>
      <c r="E62">
        <v>181500</v>
      </c>
      <c r="F62">
        <v>0.56999999999999995</v>
      </c>
      <c r="G62">
        <v>0.21</v>
      </c>
      <c r="H62">
        <v>0.77</v>
      </c>
      <c r="I62">
        <v>0.87</v>
      </c>
      <c r="J62">
        <v>6000</v>
      </c>
      <c r="K62">
        <v>7000</v>
      </c>
      <c r="L62">
        <v>1.1599999999999999</v>
      </c>
      <c r="M62">
        <f t="shared" si="0"/>
        <v>0.39144105000000001</v>
      </c>
      <c r="N62">
        <f t="shared" si="2"/>
        <v>0.45407161799999995</v>
      </c>
      <c r="O62">
        <v>0.4</v>
      </c>
      <c r="P62">
        <v>175345262</v>
      </c>
    </row>
    <row r="63" spans="1:16" x14ac:dyDescent="0.15">
      <c r="A63" t="s">
        <v>32</v>
      </c>
      <c r="B63" t="s">
        <v>25</v>
      </c>
      <c r="C63">
        <v>2028</v>
      </c>
      <c r="D63">
        <v>66500</v>
      </c>
      <c r="E63">
        <v>199500</v>
      </c>
      <c r="F63">
        <v>0.57999999999999996</v>
      </c>
      <c r="G63">
        <v>0.215</v>
      </c>
      <c r="H63">
        <v>0.78</v>
      </c>
      <c r="I63">
        <v>0.88</v>
      </c>
      <c r="J63">
        <v>6000</v>
      </c>
      <c r="K63">
        <v>7000</v>
      </c>
      <c r="L63">
        <v>1.1499999999999999</v>
      </c>
      <c r="M63">
        <f t="shared" si="0"/>
        <v>0.44472539999999994</v>
      </c>
      <c r="N63">
        <f t="shared" si="2"/>
        <v>0.51143420999999989</v>
      </c>
      <c r="O63">
        <v>0.4</v>
      </c>
      <c r="P63">
        <v>197637149</v>
      </c>
    </row>
    <row r="64" spans="1:16" x14ac:dyDescent="0.15">
      <c r="A64" t="s">
        <v>32</v>
      </c>
      <c r="B64" t="s">
        <v>25</v>
      </c>
      <c r="C64">
        <v>2029</v>
      </c>
      <c r="D64">
        <v>73000</v>
      </c>
      <c r="E64">
        <v>219500</v>
      </c>
      <c r="F64">
        <v>0.59</v>
      </c>
      <c r="G64">
        <v>0.22</v>
      </c>
      <c r="H64">
        <v>0.79</v>
      </c>
      <c r="I64">
        <v>0.89</v>
      </c>
      <c r="J64">
        <v>6000</v>
      </c>
      <c r="K64">
        <v>7000</v>
      </c>
      <c r="L64">
        <v>1.1399999999999999</v>
      </c>
      <c r="M64">
        <f t="shared" si="0"/>
        <v>0.50499850000000002</v>
      </c>
      <c r="N64">
        <f t="shared" si="2"/>
        <v>0.57569828999999995</v>
      </c>
      <c r="O64">
        <v>0.4</v>
      </c>
      <c r="P64">
        <v>222685664</v>
      </c>
    </row>
    <row r="65" spans="1:16" x14ac:dyDescent="0.15">
      <c r="A65" t="s">
        <v>32</v>
      </c>
      <c r="B65" t="s">
        <v>25</v>
      </c>
      <c r="C65">
        <v>2030</v>
      </c>
      <c r="D65">
        <v>80000</v>
      </c>
      <c r="E65">
        <v>240000</v>
      </c>
      <c r="F65">
        <v>0.6</v>
      </c>
      <c r="G65">
        <v>0.22500000000000001</v>
      </c>
      <c r="H65">
        <v>0.8</v>
      </c>
      <c r="I65">
        <v>0.9</v>
      </c>
      <c r="J65">
        <v>6000</v>
      </c>
      <c r="K65">
        <v>7000</v>
      </c>
      <c r="L65">
        <v>1.1299999999999999</v>
      </c>
      <c r="M65">
        <f t="shared" si="0"/>
        <v>0.57059999999999989</v>
      </c>
      <c r="N65">
        <f t="shared" si="2"/>
        <v>0.64477799999999985</v>
      </c>
      <c r="O65">
        <v>0.4</v>
      </c>
      <c r="P65">
        <v>249504000</v>
      </c>
    </row>
    <row r="66" spans="1:16" hidden="1" x14ac:dyDescent="0.15">
      <c r="A66" t="s">
        <v>32</v>
      </c>
      <c r="B66" t="s">
        <v>26</v>
      </c>
      <c r="C66">
        <v>2025</v>
      </c>
      <c r="D66">
        <v>35000</v>
      </c>
      <c r="E66">
        <v>100000</v>
      </c>
      <c r="F66">
        <v>0.55000000000000004</v>
      </c>
      <c r="G66">
        <v>0.25</v>
      </c>
      <c r="H66">
        <v>0.75</v>
      </c>
      <c r="I66">
        <v>0.7</v>
      </c>
      <c r="J66">
        <v>4000</v>
      </c>
      <c r="K66">
        <v>6000</v>
      </c>
      <c r="L66">
        <v>1.28</v>
      </c>
      <c r="M66">
        <f t="shared" si="0"/>
        <v>0.16275000000000001</v>
      </c>
      <c r="N66">
        <f t="shared" ref="N66:N107" si="3">(D66*F66*H66*J66+E66*G66*I66*K66)*L66/1000000000</f>
        <v>0.20832000000000001</v>
      </c>
      <c r="O66">
        <v>0.5</v>
      </c>
      <c r="P66">
        <v>137812500</v>
      </c>
    </row>
    <row r="67" spans="1:16" ht="12.75" hidden="1" customHeight="1" x14ac:dyDescent="0.15">
      <c r="A67" t="s">
        <v>32</v>
      </c>
      <c r="B67" t="s">
        <v>26</v>
      </c>
      <c r="C67">
        <v>2026</v>
      </c>
      <c r="D67">
        <v>49500</v>
      </c>
      <c r="E67">
        <v>165000</v>
      </c>
      <c r="F67">
        <v>0.56000000000000005</v>
      </c>
      <c r="G67">
        <v>0.26</v>
      </c>
      <c r="H67">
        <v>0.76</v>
      </c>
      <c r="I67">
        <v>0.66</v>
      </c>
      <c r="J67">
        <v>4000</v>
      </c>
      <c r="K67">
        <v>6000</v>
      </c>
      <c r="L67">
        <v>1.27</v>
      </c>
      <c r="M67">
        <f t="shared" ref="M67:M130" si="4">N67/L67</f>
        <v>0.25415279999999996</v>
      </c>
      <c r="N67">
        <f t="shared" si="3"/>
        <v>0.32277405599999998</v>
      </c>
      <c r="O67">
        <v>0.5</v>
      </c>
      <c r="P67">
        <v>157574736</v>
      </c>
    </row>
    <row r="68" spans="1:16" hidden="1" x14ac:dyDescent="0.15">
      <c r="A68" t="s">
        <v>32</v>
      </c>
      <c r="B68" t="s">
        <v>26</v>
      </c>
      <c r="C68">
        <v>2027</v>
      </c>
      <c r="D68">
        <v>54450</v>
      </c>
      <c r="E68">
        <v>181500</v>
      </c>
      <c r="F68">
        <v>0.56999999999999995</v>
      </c>
      <c r="G68">
        <v>0.27</v>
      </c>
      <c r="H68">
        <v>0.77</v>
      </c>
      <c r="I68">
        <v>0.67</v>
      </c>
      <c r="J68">
        <v>4000</v>
      </c>
      <c r="K68">
        <v>6000</v>
      </c>
      <c r="L68">
        <v>1.26</v>
      </c>
      <c r="M68">
        <f t="shared" si="4"/>
        <v>0.29259252000000002</v>
      </c>
      <c r="N68">
        <f t="shared" si="3"/>
        <v>0.36866657520000001</v>
      </c>
      <c r="O68">
        <v>0.5</v>
      </c>
      <c r="P68">
        <v>179944400</v>
      </c>
    </row>
    <row r="69" spans="1:16" hidden="1" x14ac:dyDescent="0.15">
      <c r="A69" t="s">
        <v>32</v>
      </c>
      <c r="B69" t="s">
        <v>26</v>
      </c>
      <c r="C69">
        <v>2028</v>
      </c>
      <c r="D69">
        <v>59900</v>
      </c>
      <c r="E69">
        <v>199500</v>
      </c>
      <c r="F69">
        <v>0.57999999999999996</v>
      </c>
      <c r="G69">
        <v>0.28000000000000003</v>
      </c>
      <c r="H69">
        <v>0.78</v>
      </c>
      <c r="I69">
        <v>0.68</v>
      </c>
      <c r="J69">
        <v>4000</v>
      </c>
      <c r="K69">
        <v>6000</v>
      </c>
      <c r="L69">
        <v>1.25</v>
      </c>
      <c r="M69">
        <f t="shared" si="4"/>
        <v>0.33630384000000008</v>
      </c>
      <c r="N69">
        <f t="shared" si="3"/>
        <v>0.42037980000000008</v>
      </c>
      <c r="O69">
        <v>0.5</v>
      </c>
      <c r="P69">
        <v>205145342</v>
      </c>
    </row>
    <row r="70" spans="1:16" hidden="1" x14ac:dyDescent="0.15">
      <c r="A70" t="s">
        <v>32</v>
      </c>
      <c r="B70" t="s">
        <v>26</v>
      </c>
      <c r="C70">
        <v>2029</v>
      </c>
      <c r="D70">
        <v>65890</v>
      </c>
      <c r="E70">
        <v>219450</v>
      </c>
      <c r="F70">
        <v>0.59</v>
      </c>
      <c r="G70">
        <v>0.28999999999999998</v>
      </c>
      <c r="H70">
        <v>0.79</v>
      </c>
      <c r="I70">
        <v>0.69</v>
      </c>
      <c r="J70">
        <v>4000</v>
      </c>
      <c r="K70">
        <v>6000</v>
      </c>
      <c r="L70">
        <v>1.24</v>
      </c>
      <c r="M70">
        <f t="shared" si="4"/>
        <v>0.38631698599999997</v>
      </c>
      <c r="N70">
        <f t="shared" si="3"/>
        <v>0.47903306263999995</v>
      </c>
      <c r="O70">
        <v>0.5</v>
      </c>
      <c r="P70">
        <v>233721777</v>
      </c>
    </row>
    <row r="71" spans="1:16" hidden="1" x14ac:dyDescent="0.15">
      <c r="A71" t="s">
        <v>32</v>
      </c>
      <c r="B71" t="s">
        <v>26</v>
      </c>
      <c r="C71">
        <v>2030</v>
      </c>
      <c r="D71">
        <v>72480</v>
      </c>
      <c r="E71">
        <v>241395</v>
      </c>
      <c r="F71">
        <v>0.6</v>
      </c>
      <c r="G71">
        <v>0.3</v>
      </c>
      <c r="H71">
        <v>0.8</v>
      </c>
      <c r="I71">
        <v>0.7</v>
      </c>
      <c r="J71">
        <v>4000</v>
      </c>
      <c r="K71">
        <v>6000</v>
      </c>
      <c r="L71">
        <v>1.2</v>
      </c>
      <c r="M71">
        <f t="shared" si="4"/>
        <v>0.44331930000000003</v>
      </c>
      <c r="N71">
        <f t="shared" si="3"/>
        <v>0.53198316000000001</v>
      </c>
      <c r="O71">
        <v>0.5</v>
      </c>
      <c r="P71">
        <v>265991580</v>
      </c>
    </row>
    <row r="72" spans="1:16" hidden="1" x14ac:dyDescent="0.15">
      <c r="A72" t="s">
        <v>32</v>
      </c>
      <c r="B72" t="s">
        <v>27</v>
      </c>
      <c r="C72">
        <v>2025</v>
      </c>
      <c r="D72">
        <v>35000</v>
      </c>
      <c r="E72">
        <v>110000</v>
      </c>
      <c r="F72">
        <v>0.55000000000000004</v>
      </c>
      <c r="G72">
        <v>0.25</v>
      </c>
      <c r="H72">
        <v>0.75</v>
      </c>
      <c r="I72">
        <v>0.82</v>
      </c>
      <c r="J72">
        <v>6000</v>
      </c>
      <c r="K72">
        <v>7200</v>
      </c>
      <c r="L72">
        <v>1.2</v>
      </c>
      <c r="M72">
        <f t="shared" si="4"/>
        <v>0.24898500000000001</v>
      </c>
      <c r="N72">
        <f t="shared" si="3"/>
        <v>0.29878199999999999</v>
      </c>
      <c r="O72">
        <v>0.25</v>
      </c>
      <c r="P72">
        <v>105975000</v>
      </c>
    </row>
    <row r="73" spans="1:16" hidden="1" x14ac:dyDescent="0.15">
      <c r="A73" t="s">
        <v>32</v>
      </c>
      <c r="B73" t="s">
        <v>27</v>
      </c>
      <c r="C73">
        <v>2026</v>
      </c>
      <c r="D73">
        <v>50000</v>
      </c>
      <c r="E73">
        <v>150000</v>
      </c>
      <c r="F73">
        <v>0.55000000000000004</v>
      </c>
      <c r="G73">
        <v>0.25</v>
      </c>
      <c r="H73">
        <v>0.75</v>
      </c>
      <c r="I73">
        <v>0.85</v>
      </c>
      <c r="J73">
        <v>6000</v>
      </c>
      <c r="K73">
        <v>7200</v>
      </c>
      <c r="L73">
        <v>1.2</v>
      </c>
      <c r="M73">
        <f t="shared" si="4"/>
        <v>0.35325000000000001</v>
      </c>
      <c r="N73">
        <f t="shared" si="3"/>
        <v>0.4239</v>
      </c>
      <c r="O73">
        <v>0.25</v>
      </c>
      <c r="P73">
        <v>105975000</v>
      </c>
    </row>
    <row r="74" spans="1:16" hidden="1" x14ac:dyDescent="0.15">
      <c r="A74" t="s">
        <v>32</v>
      </c>
      <c r="B74" t="s">
        <v>27</v>
      </c>
      <c r="C74">
        <v>2027</v>
      </c>
      <c r="D74">
        <v>55000</v>
      </c>
      <c r="E74">
        <v>165000</v>
      </c>
      <c r="F74">
        <v>0.56000000000000005</v>
      </c>
      <c r="G74">
        <v>0.253</v>
      </c>
      <c r="H74">
        <v>0.76</v>
      </c>
      <c r="I74">
        <v>0.86</v>
      </c>
      <c r="J74">
        <v>6000</v>
      </c>
      <c r="K74">
        <v>7200</v>
      </c>
      <c r="L74">
        <v>1.19</v>
      </c>
      <c r="M74">
        <f t="shared" si="4"/>
        <v>0.39893303999999996</v>
      </c>
      <c r="N74">
        <f t="shared" si="3"/>
        <v>0.47473031759999995</v>
      </c>
      <c r="O74">
        <v>0.25</v>
      </c>
      <c r="P74">
        <v>118682579</v>
      </c>
    </row>
    <row r="75" spans="1:16" hidden="1" x14ac:dyDescent="0.15">
      <c r="A75" t="s">
        <v>32</v>
      </c>
      <c r="B75" t="s">
        <v>27</v>
      </c>
      <c r="C75">
        <v>2028</v>
      </c>
      <c r="D75">
        <v>60500</v>
      </c>
      <c r="E75">
        <v>181500</v>
      </c>
      <c r="F75">
        <v>0.56999999999999995</v>
      </c>
      <c r="G75">
        <v>0.25600000000000001</v>
      </c>
      <c r="H75">
        <v>0.77</v>
      </c>
      <c r="I75">
        <v>0.87</v>
      </c>
      <c r="J75">
        <v>6000</v>
      </c>
      <c r="K75">
        <v>7200</v>
      </c>
      <c r="L75">
        <v>1.18</v>
      </c>
      <c r="M75">
        <f t="shared" si="4"/>
        <v>0.45037119600000003</v>
      </c>
      <c r="N75">
        <f t="shared" si="3"/>
        <v>0.53143801128000001</v>
      </c>
      <c r="O75">
        <v>0.25</v>
      </c>
      <c r="P75">
        <v>132859503</v>
      </c>
    </row>
    <row r="76" spans="1:16" hidden="1" x14ac:dyDescent="0.15">
      <c r="A76" t="s">
        <v>32</v>
      </c>
      <c r="B76" t="s">
        <v>27</v>
      </c>
      <c r="C76">
        <v>2029</v>
      </c>
      <c r="D76">
        <v>66500</v>
      </c>
      <c r="E76">
        <v>199500</v>
      </c>
      <c r="F76">
        <v>0.57999999999999996</v>
      </c>
      <c r="G76">
        <v>0.25900000000000001</v>
      </c>
      <c r="H76">
        <v>0.78</v>
      </c>
      <c r="I76">
        <v>0.88</v>
      </c>
      <c r="J76">
        <v>6000</v>
      </c>
      <c r="K76">
        <v>7200</v>
      </c>
      <c r="L76">
        <v>1.17</v>
      </c>
      <c r="M76">
        <f t="shared" si="4"/>
        <v>0.50789188799999996</v>
      </c>
      <c r="N76">
        <f t="shared" si="3"/>
        <v>0.59423350895999993</v>
      </c>
      <c r="O76">
        <v>0.25</v>
      </c>
      <c r="P76">
        <v>148558377</v>
      </c>
    </row>
    <row r="77" spans="1:16" hidden="1" x14ac:dyDescent="0.15">
      <c r="A77" t="s">
        <v>32</v>
      </c>
      <c r="B77" t="s">
        <v>27</v>
      </c>
      <c r="C77">
        <v>2030</v>
      </c>
      <c r="D77">
        <v>73000</v>
      </c>
      <c r="E77">
        <v>219500</v>
      </c>
      <c r="F77">
        <v>0.59</v>
      </c>
      <c r="G77">
        <v>0.26200000000000001</v>
      </c>
      <c r="H77">
        <v>0.79</v>
      </c>
      <c r="I77">
        <v>0.89</v>
      </c>
      <c r="J77">
        <v>6000</v>
      </c>
      <c r="K77">
        <v>7200</v>
      </c>
      <c r="L77">
        <v>1.1599999999999999</v>
      </c>
      <c r="M77">
        <f t="shared" si="4"/>
        <v>0.57266947200000007</v>
      </c>
      <c r="N77">
        <f t="shared" si="3"/>
        <v>0.66429658751999998</v>
      </c>
      <c r="O77">
        <v>0.25</v>
      </c>
      <c r="P77">
        <v>166074147</v>
      </c>
    </row>
    <row r="78" spans="1:16" hidden="1" x14ac:dyDescent="0.15">
      <c r="A78" t="s">
        <v>32</v>
      </c>
      <c r="B78" t="s">
        <v>28</v>
      </c>
      <c r="C78">
        <v>2025</v>
      </c>
      <c r="D78">
        <v>15000</v>
      </c>
      <c r="E78">
        <v>50000</v>
      </c>
      <c r="F78">
        <v>0.55000000000000004</v>
      </c>
      <c r="G78">
        <v>0.25</v>
      </c>
      <c r="H78">
        <v>0.75</v>
      </c>
      <c r="I78">
        <v>0.65</v>
      </c>
      <c r="J78">
        <v>3500</v>
      </c>
      <c r="K78">
        <v>4500</v>
      </c>
      <c r="L78">
        <v>1.4</v>
      </c>
      <c r="M78">
        <f t="shared" si="4"/>
        <v>5.8218750000000007E-2</v>
      </c>
      <c r="N78">
        <f t="shared" si="3"/>
        <v>8.1506250000000002E-2</v>
      </c>
      <c r="O78">
        <v>0.4</v>
      </c>
      <c r="P78">
        <v>85875000</v>
      </c>
    </row>
    <row r="79" spans="1:16" hidden="1" x14ac:dyDescent="0.15">
      <c r="A79" t="s">
        <v>32</v>
      </c>
      <c r="B79" t="s">
        <v>28</v>
      </c>
      <c r="C79">
        <v>2026</v>
      </c>
      <c r="D79">
        <v>16000</v>
      </c>
      <c r="E79">
        <v>55000</v>
      </c>
      <c r="F79">
        <v>0.55000000000000004</v>
      </c>
      <c r="G79">
        <v>0.2</v>
      </c>
      <c r="H79">
        <v>0.75</v>
      </c>
      <c r="I79">
        <v>0.65</v>
      </c>
      <c r="J79">
        <v>3500</v>
      </c>
      <c r="K79">
        <v>4500</v>
      </c>
      <c r="L79">
        <v>1.39</v>
      </c>
      <c r="M79">
        <f t="shared" si="4"/>
        <v>5.5275000000000005E-2</v>
      </c>
      <c r="N79">
        <f t="shared" si="3"/>
        <v>7.6832250000000005E-2</v>
      </c>
      <c r="O79">
        <v>0.4</v>
      </c>
      <c r="P79">
        <v>85875000</v>
      </c>
    </row>
    <row r="80" spans="1:16" hidden="1" x14ac:dyDescent="0.15">
      <c r="A80" t="s">
        <v>32</v>
      </c>
      <c r="B80" t="s">
        <v>28</v>
      </c>
      <c r="C80">
        <v>2027</v>
      </c>
      <c r="D80">
        <v>17250</v>
      </c>
      <c r="E80">
        <v>57500</v>
      </c>
      <c r="F80">
        <v>0.56000000000000005</v>
      </c>
      <c r="G80">
        <v>0.20200000000000001</v>
      </c>
      <c r="H80">
        <v>0.76</v>
      </c>
      <c r="I80">
        <v>0.66</v>
      </c>
      <c r="J80">
        <v>3500</v>
      </c>
      <c r="K80">
        <v>4500</v>
      </c>
      <c r="L80">
        <v>1.38</v>
      </c>
      <c r="M80">
        <f t="shared" si="4"/>
        <v>6.019215E-2</v>
      </c>
      <c r="N80">
        <f t="shared" si="3"/>
        <v>8.3065166999999995E-2</v>
      </c>
      <c r="O80">
        <v>0.4</v>
      </c>
      <c r="P80">
        <v>91972238</v>
      </c>
    </row>
    <row r="81" spans="1:16" hidden="1" x14ac:dyDescent="0.15">
      <c r="A81" t="s">
        <v>32</v>
      </c>
      <c r="B81" t="s">
        <v>28</v>
      </c>
      <c r="C81">
        <v>2028</v>
      </c>
      <c r="D81">
        <v>19500</v>
      </c>
      <c r="E81">
        <v>65000</v>
      </c>
      <c r="F81">
        <v>0.56999999999999995</v>
      </c>
      <c r="G81">
        <v>0.20399999999999999</v>
      </c>
      <c r="H81">
        <v>0.77</v>
      </c>
      <c r="I81">
        <v>0.67</v>
      </c>
      <c r="J81">
        <v>3500</v>
      </c>
      <c r="K81">
        <v>4500</v>
      </c>
      <c r="L81">
        <v>1.37</v>
      </c>
      <c r="M81">
        <f t="shared" si="4"/>
        <v>6.9933824999999991E-2</v>
      </c>
      <c r="N81">
        <f t="shared" si="3"/>
        <v>9.580934025E-2</v>
      </c>
      <c r="O81">
        <v>0.4</v>
      </c>
      <c r="P81">
        <v>98234294</v>
      </c>
    </row>
    <row r="82" spans="1:16" hidden="1" x14ac:dyDescent="0.15">
      <c r="A82" t="s">
        <v>32</v>
      </c>
      <c r="B82" t="s">
        <v>28</v>
      </c>
      <c r="C82">
        <v>2029</v>
      </c>
      <c r="D82">
        <v>21750</v>
      </c>
      <c r="E82">
        <v>72500</v>
      </c>
      <c r="F82">
        <v>0.57999999999999996</v>
      </c>
      <c r="G82">
        <v>0.20599999999999999</v>
      </c>
      <c r="H82">
        <v>0.78</v>
      </c>
      <c r="I82">
        <v>0.68</v>
      </c>
      <c r="J82">
        <v>3500</v>
      </c>
      <c r="K82">
        <v>4500</v>
      </c>
      <c r="L82">
        <v>1.36</v>
      </c>
      <c r="M82">
        <f t="shared" si="4"/>
        <v>8.0140050000000004E-2</v>
      </c>
      <c r="N82">
        <f t="shared" si="3"/>
        <v>0.10899046800000002</v>
      </c>
      <c r="O82">
        <v>0.4</v>
      </c>
      <c r="P82">
        <v>104659310</v>
      </c>
    </row>
    <row r="83" spans="1:16" hidden="1" x14ac:dyDescent="0.15">
      <c r="A83" t="s">
        <v>32</v>
      </c>
      <c r="B83" t="s">
        <v>28</v>
      </c>
      <c r="C83">
        <v>2030</v>
      </c>
      <c r="D83">
        <v>24000</v>
      </c>
      <c r="E83">
        <v>80000</v>
      </c>
      <c r="F83">
        <v>0.59</v>
      </c>
      <c r="G83">
        <v>0.20799999999999999</v>
      </c>
      <c r="H83">
        <v>0.79</v>
      </c>
      <c r="I83">
        <v>0.69</v>
      </c>
      <c r="J83">
        <v>3500</v>
      </c>
      <c r="K83">
        <v>4500</v>
      </c>
      <c r="L83">
        <v>1.35</v>
      </c>
      <c r="M83">
        <f t="shared" si="4"/>
        <v>9.08196E-2</v>
      </c>
      <c r="N83">
        <f t="shared" si="3"/>
        <v>0.12260646000000001</v>
      </c>
      <c r="O83">
        <v>0.4</v>
      </c>
      <c r="P83">
        <v>111245270</v>
      </c>
    </row>
    <row r="84" spans="1:16" x14ac:dyDescent="0.15">
      <c r="A84" t="s">
        <v>32</v>
      </c>
      <c r="B84" t="s">
        <v>29</v>
      </c>
      <c r="C84">
        <v>2025</v>
      </c>
      <c r="D84">
        <v>10000</v>
      </c>
      <c r="E84">
        <v>40000</v>
      </c>
      <c r="F84">
        <v>0.55000000000000004</v>
      </c>
      <c r="G84">
        <v>0.2</v>
      </c>
      <c r="H84">
        <v>0.75</v>
      </c>
      <c r="I84">
        <v>0.85</v>
      </c>
      <c r="J84">
        <v>6000</v>
      </c>
      <c r="K84">
        <v>7000</v>
      </c>
      <c r="L84">
        <v>1.25</v>
      </c>
      <c r="M84">
        <f t="shared" si="4"/>
        <v>7.2349999999999998E-2</v>
      </c>
      <c r="N84">
        <f t="shared" si="3"/>
        <v>9.0437500000000004E-2</v>
      </c>
      <c r="O84">
        <v>0.4</v>
      </c>
      <c r="P84">
        <v>145080000</v>
      </c>
    </row>
    <row r="85" spans="1:16" x14ac:dyDescent="0.15">
      <c r="A85" t="s">
        <v>32</v>
      </c>
      <c r="B85" t="s">
        <v>29</v>
      </c>
      <c r="C85">
        <v>2026</v>
      </c>
      <c r="D85">
        <v>12000</v>
      </c>
      <c r="E85">
        <v>45000</v>
      </c>
      <c r="F85">
        <v>0.56000000000000005</v>
      </c>
      <c r="G85">
        <v>0.20499999999999999</v>
      </c>
      <c r="H85">
        <v>0.76</v>
      </c>
      <c r="I85">
        <v>0.86</v>
      </c>
      <c r="J85">
        <v>6000</v>
      </c>
      <c r="K85">
        <v>7000</v>
      </c>
      <c r="L85">
        <v>1.24</v>
      </c>
      <c r="M85">
        <f t="shared" si="4"/>
        <v>8.6177699999999996E-2</v>
      </c>
      <c r="N85">
        <f t="shared" si="3"/>
        <v>0.10686034799999999</v>
      </c>
      <c r="O85">
        <v>0.4</v>
      </c>
      <c r="P85">
        <v>163779462</v>
      </c>
    </row>
    <row r="86" spans="1:16" x14ac:dyDescent="0.15">
      <c r="A86" t="s">
        <v>32</v>
      </c>
      <c r="B86" t="s">
        <v>29</v>
      </c>
      <c r="C86">
        <v>2027</v>
      </c>
      <c r="D86">
        <v>14500</v>
      </c>
      <c r="E86">
        <v>48150</v>
      </c>
      <c r="F86">
        <v>0.56999999999999995</v>
      </c>
      <c r="G86">
        <v>0.21</v>
      </c>
      <c r="H86">
        <v>0.77</v>
      </c>
      <c r="I86">
        <v>0.87</v>
      </c>
      <c r="J86">
        <v>6000</v>
      </c>
      <c r="K86">
        <v>7000</v>
      </c>
      <c r="L86">
        <v>1.23</v>
      </c>
      <c r="M86">
        <f t="shared" si="4"/>
        <v>9.9763334999999995E-2</v>
      </c>
      <c r="N86">
        <f t="shared" si="3"/>
        <v>0.12270890205</v>
      </c>
      <c r="O86">
        <v>0.4</v>
      </c>
      <c r="P86">
        <v>184760176</v>
      </c>
    </row>
    <row r="87" spans="1:16" x14ac:dyDescent="0.15">
      <c r="A87" t="s">
        <v>32</v>
      </c>
      <c r="B87" t="s">
        <v>29</v>
      </c>
      <c r="C87">
        <v>2028</v>
      </c>
      <c r="D87">
        <v>16550</v>
      </c>
      <c r="E87">
        <v>55650</v>
      </c>
      <c r="F87">
        <v>0.57999999999999996</v>
      </c>
      <c r="G87">
        <v>0.215</v>
      </c>
      <c r="H87">
        <v>0.78</v>
      </c>
      <c r="I87">
        <v>0.876</v>
      </c>
      <c r="J87">
        <v>6000</v>
      </c>
      <c r="K87">
        <v>7000</v>
      </c>
      <c r="L87">
        <v>1.22</v>
      </c>
      <c r="M87">
        <f t="shared" si="4"/>
        <v>0.118291167</v>
      </c>
      <c r="N87">
        <f t="shared" si="3"/>
        <v>0.14431522374</v>
      </c>
      <c r="O87">
        <v>0.4</v>
      </c>
      <c r="P87">
        <v>208287977</v>
      </c>
    </row>
    <row r="88" spans="1:16" x14ac:dyDescent="0.15">
      <c r="A88" t="s">
        <v>32</v>
      </c>
      <c r="B88" t="s">
        <v>29</v>
      </c>
      <c r="C88">
        <v>2029</v>
      </c>
      <c r="D88">
        <v>18205</v>
      </c>
      <c r="E88">
        <v>66615</v>
      </c>
      <c r="F88">
        <v>0.59</v>
      </c>
      <c r="G88">
        <v>0.22</v>
      </c>
      <c r="H88">
        <v>0.79</v>
      </c>
      <c r="I88">
        <v>0.88</v>
      </c>
      <c r="J88">
        <v>6000</v>
      </c>
      <c r="K88">
        <v>7000</v>
      </c>
      <c r="L88">
        <v>1.21</v>
      </c>
      <c r="M88">
        <f t="shared" si="4"/>
        <v>0.14118875099999997</v>
      </c>
      <c r="N88">
        <f t="shared" si="3"/>
        <v>0.17083838870999996</v>
      </c>
      <c r="O88">
        <v>0.4</v>
      </c>
      <c r="P88">
        <v>234658452</v>
      </c>
    </row>
    <row r="89" spans="1:16" x14ac:dyDescent="0.15">
      <c r="A89" t="s">
        <v>32</v>
      </c>
      <c r="B89" t="s">
        <v>29</v>
      </c>
      <c r="C89">
        <v>2030</v>
      </c>
      <c r="D89">
        <v>20525</v>
      </c>
      <c r="E89">
        <v>71576</v>
      </c>
      <c r="F89">
        <v>0.6</v>
      </c>
      <c r="G89">
        <v>0.22500000000000001</v>
      </c>
      <c r="H89">
        <v>0.8</v>
      </c>
      <c r="I89">
        <v>0.88</v>
      </c>
      <c r="J89">
        <v>6000</v>
      </c>
      <c r="K89">
        <v>7000</v>
      </c>
      <c r="L89">
        <v>1.2</v>
      </c>
      <c r="M89">
        <f t="shared" si="4"/>
        <v>0.158316336</v>
      </c>
      <c r="N89">
        <f t="shared" si="3"/>
        <v>0.18997960319999999</v>
      </c>
      <c r="O89">
        <v>0.4</v>
      </c>
      <c r="P89">
        <v>264199151</v>
      </c>
    </row>
    <row r="90" spans="1:16" ht="12.75" customHeight="1" x14ac:dyDescent="0.15">
      <c r="A90" t="s">
        <v>32</v>
      </c>
      <c r="B90" t="s">
        <v>30</v>
      </c>
      <c r="C90">
        <v>2025</v>
      </c>
      <c r="D90">
        <v>15000</v>
      </c>
      <c r="E90">
        <v>60000</v>
      </c>
      <c r="F90">
        <v>0.55000000000000004</v>
      </c>
      <c r="G90">
        <v>0.2</v>
      </c>
      <c r="H90">
        <v>0.75</v>
      </c>
      <c r="I90">
        <v>0.85</v>
      </c>
      <c r="J90">
        <v>6000</v>
      </c>
      <c r="K90">
        <v>7000</v>
      </c>
      <c r="L90">
        <v>1.25</v>
      </c>
      <c r="M90">
        <f t="shared" si="4"/>
        <v>0.10852500000000001</v>
      </c>
      <c r="N90">
        <f t="shared" si="3"/>
        <v>0.13565625000000001</v>
      </c>
      <c r="O90">
        <v>0.3</v>
      </c>
      <c r="P90">
        <v>108810000</v>
      </c>
    </row>
    <row r="91" spans="1:16" x14ac:dyDescent="0.15">
      <c r="A91" t="s">
        <v>32</v>
      </c>
      <c r="B91" t="s">
        <v>30</v>
      </c>
      <c r="C91">
        <v>2026</v>
      </c>
      <c r="D91">
        <v>17000</v>
      </c>
      <c r="E91">
        <v>65000</v>
      </c>
      <c r="F91">
        <v>0.55000000000000004</v>
      </c>
      <c r="G91">
        <v>0.2</v>
      </c>
      <c r="H91">
        <v>0.75</v>
      </c>
      <c r="I91">
        <v>0.85</v>
      </c>
      <c r="J91">
        <v>6000</v>
      </c>
      <c r="K91">
        <v>7000</v>
      </c>
      <c r="L91">
        <v>1.24</v>
      </c>
      <c r="M91">
        <f t="shared" si="4"/>
        <v>0.119425</v>
      </c>
      <c r="N91">
        <f t="shared" si="3"/>
        <v>0.148087</v>
      </c>
      <c r="O91">
        <v>0.3</v>
      </c>
      <c r="P91">
        <v>108810000</v>
      </c>
    </row>
    <row r="92" spans="1:16" x14ac:dyDescent="0.15">
      <c r="A92" t="s">
        <v>32</v>
      </c>
      <c r="B92" t="s">
        <v>30</v>
      </c>
      <c r="C92">
        <v>2027</v>
      </c>
      <c r="D92">
        <v>25000</v>
      </c>
      <c r="E92">
        <v>71000</v>
      </c>
      <c r="F92">
        <v>0.54</v>
      </c>
      <c r="G92">
        <v>0.19800000000000001</v>
      </c>
      <c r="H92">
        <v>0.76</v>
      </c>
      <c r="I92">
        <v>0.86</v>
      </c>
      <c r="J92">
        <v>6000</v>
      </c>
      <c r="K92">
        <v>7000</v>
      </c>
      <c r="L92">
        <v>1.23</v>
      </c>
      <c r="M92">
        <f t="shared" si="4"/>
        <v>0.14618916000000001</v>
      </c>
      <c r="N92">
        <f t="shared" si="3"/>
        <v>0.17981266680000002</v>
      </c>
      <c r="O92">
        <v>0.3</v>
      </c>
      <c r="P92">
        <v>118561628</v>
      </c>
    </row>
    <row r="93" spans="1:16" x14ac:dyDescent="0.15">
      <c r="A93" t="s">
        <v>32</v>
      </c>
      <c r="B93" t="s">
        <v>30</v>
      </c>
      <c r="C93">
        <v>2028</v>
      </c>
      <c r="D93">
        <v>30500</v>
      </c>
      <c r="E93">
        <v>79500</v>
      </c>
      <c r="F93">
        <v>0.54</v>
      </c>
      <c r="G93">
        <v>0.19600000000000001</v>
      </c>
      <c r="H93">
        <v>0.77</v>
      </c>
      <c r="I93">
        <v>0.87</v>
      </c>
      <c r="J93">
        <v>6000</v>
      </c>
      <c r="K93">
        <v>7000</v>
      </c>
      <c r="L93">
        <v>1.22</v>
      </c>
      <c r="M93">
        <f t="shared" si="4"/>
        <v>0.17098578</v>
      </c>
      <c r="N93">
        <f t="shared" si="3"/>
        <v>0.20860265159999999</v>
      </c>
      <c r="O93">
        <v>0.3</v>
      </c>
      <c r="P93">
        <v>129134230</v>
      </c>
    </row>
    <row r="94" spans="1:16" x14ac:dyDescent="0.15">
      <c r="A94" t="s">
        <v>32</v>
      </c>
      <c r="B94" t="s">
        <v>30</v>
      </c>
      <c r="C94">
        <v>2029</v>
      </c>
      <c r="D94">
        <v>46550</v>
      </c>
      <c r="E94">
        <v>87650</v>
      </c>
      <c r="F94">
        <v>0.54</v>
      </c>
      <c r="G94">
        <v>0.19400000000000001</v>
      </c>
      <c r="H94">
        <v>0.78</v>
      </c>
      <c r="I94">
        <v>0.88</v>
      </c>
      <c r="J94">
        <v>6000</v>
      </c>
      <c r="K94">
        <v>7000</v>
      </c>
      <c r="L94">
        <v>1.21</v>
      </c>
      <c r="M94">
        <f t="shared" si="4"/>
        <v>0.222386416</v>
      </c>
      <c r="N94">
        <f t="shared" si="3"/>
        <v>0.26908756336</v>
      </c>
      <c r="O94">
        <v>0.3</v>
      </c>
      <c r="P94">
        <v>140591581</v>
      </c>
    </row>
    <row r="95" spans="1:16" x14ac:dyDescent="0.15">
      <c r="A95" t="s">
        <v>32</v>
      </c>
      <c r="B95" t="s">
        <v>30</v>
      </c>
      <c r="C95">
        <v>2030</v>
      </c>
      <c r="D95">
        <v>53205</v>
      </c>
      <c r="E95">
        <v>99615</v>
      </c>
      <c r="F95">
        <v>0.54</v>
      </c>
      <c r="G95">
        <v>0.192</v>
      </c>
      <c r="H95">
        <v>0.79</v>
      </c>
      <c r="I95">
        <v>0.89</v>
      </c>
      <c r="J95">
        <v>6000</v>
      </c>
      <c r="K95">
        <v>7000</v>
      </c>
      <c r="L95">
        <v>1.2</v>
      </c>
      <c r="M95">
        <f t="shared" si="4"/>
        <v>0.25533899640000002</v>
      </c>
      <c r="N95">
        <f t="shared" si="3"/>
        <v>0.30640679568000001</v>
      </c>
      <c r="O95">
        <v>0.3</v>
      </c>
      <c r="P95">
        <v>153001835</v>
      </c>
    </row>
    <row r="96" spans="1:16" x14ac:dyDescent="0.15">
      <c r="A96" t="s">
        <v>32</v>
      </c>
      <c r="B96" t="s">
        <v>31</v>
      </c>
      <c r="C96">
        <v>2025</v>
      </c>
      <c r="D96">
        <v>15000</v>
      </c>
      <c r="E96">
        <v>60000</v>
      </c>
      <c r="F96">
        <v>0.55000000000000004</v>
      </c>
      <c r="G96">
        <v>0.2</v>
      </c>
      <c r="H96">
        <v>0.75</v>
      </c>
      <c r="I96">
        <v>0.85</v>
      </c>
      <c r="J96">
        <v>4000</v>
      </c>
      <c r="K96">
        <v>6000</v>
      </c>
      <c r="L96">
        <v>1.25</v>
      </c>
      <c r="M96">
        <f t="shared" si="4"/>
        <v>8.5949999999999999E-2</v>
      </c>
      <c r="N96">
        <f t="shared" si="3"/>
        <v>0.10743750000000001</v>
      </c>
      <c r="O96">
        <v>0.4</v>
      </c>
      <c r="P96">
        <v>113040000</v>
      </c>
    </row>
    <row r="97" spans="1:16" x14ac:dyDescent="0.15">
      <c r="A97" t="s">
        <v>32</v>
      </c>
      <c r="B97" t="s">
        <v>31</v>
      </c>
      <c r="C97">
        <v>2026</v>
      </c>
      <c r="D97">
        <v>17000</v>
      </c>
      <c r="E97">
        <v>65000</v>
      </c>
      <c r="F97">
        <v>0.56000000000000005</v>
      </c>
      <c r="G97">
        <v>0.20499999999999999</v>
      </c>
      <c r="H97">
        <v>0.76</v>
      </c>
      <c r="I97">
        <v>0.86</v>
      </c>
      <c r="J97">
        <v>4000</v>
      </c>
      <c r="K97">
        <v>6000</v>
      </c>
      <c r="L97">
        <v>1.24</v>
      </c>
      <c r="M97">
        <f t="shared" si="4"/>
        <v>9.7697800000000001E-2</v>
      </c>
      <c r="N97">
        <f t="shared" si="3"/>
        <v>0.121145272</v>
      </c>
      <c r="O97">
        <v>0.4</v>
      </c>
      <c r="P97">
        <v>127648444</v>
      </c>
    </row>
    <row r="98" spans="1:16" x14ac:dyDescent="0.15">
      <c r="A98" t="s">
        <v>32</v>
      </c>
      <c r="B98" t="s">
        <v>31</v>
      </c>
      <c r="C98">
        <v>2027</v>
      </c>
      <c r="D98">
        <v>23500</v>
      </c>
      <c r="E98">
        <v>71500</v>
      </c>
      <c r="F98">
        <v>0.56999999999999995</v>
      </c>
      <c r="G98">
        <v>0.21</v>
      </c>
      <c r="H98">
        <v>0.77</v>
      </c>
      <c r="I98">
        <v>0.87</v>
      </c>
      <c r="J98">
        <v>4000</v>
      </c>
      <c r="K98">
        <v>6000</v>
      </c>
      <c r="L98">
        <v>1.23</v>
      </c>
      <c r="M98">
        <f t="shared" si="4"/>
        <v>0.11963489999999999</v>
      </c>
      <c r="N98">
        <f t="shared" si="3"/>
        <v>0.14715092699999999</v>
      </c>
      <c r="O98">
        <v>0.4</v>
      </c>
      <c r="P98">
        <v>144042175</v>
      </c>
    </row>
    <row r="99" spans="1:16" x14ac:dyDescent="0.15">
      <c r="A99" t="s">
        <v>32</v>
      </c>
      <c r="B99" t="s">
        <v>31</v>
      </c>
      <c r="C99">
        <v>2028</v>
      </c>
      <c r="D99">
        <v>27550</v>
      </c>
      <c r="E99">
        <v>83650</v>
      </c>
      <c r="F99">
        <v>0.57999999999999996</v>
      </c>
      <c r="G99">
        <v>0.215</v>
      </c>
      <c r="H99">
        <v>0.78</v>
      </c>
      <c r="I99">
        <v>0.88</v>
      </c>
      <c r="J99">
        <v>4000</v>
      </c>
      <c r="K99">
        <v>6000</v>
      </c>
      <c r="L99">
        <v>1.22</v>
      </c>
      <c r="M99">
        <f t="shared" si="4"/>
        <v>0.14481395999999999</v>
      </c>
      <c r="N99">
        <f t="shared" si="3"/>
        <v>0.1766730312</v>
      </c>
      <c r="O99">
        <v>0.4</v>
      </c>
      <c r="P99">
        <v>162429490</v>
      </c>
    </row>
    <row r="100" spans="1:16" x14ac:dyDescent="0.15">
      <c r="A100" t="s">
        <v>32</v>
      </c>
      <c r="B100" t="s">
        <v>31</v>
      </c>
      <c r="C100">
        <v>2029</v>
      </c>
      <c r="D100">
        <v>33205</v>
      </c>
      <c r="E100">
        <v>91615</v>
      </c>
      <c r="F100">
        <v>0.59</v>
      </c>
      <c r="G100">
        <v>0.22</v>
      </c>
      <c r="H100">
        <v>0.79</v>
      </c>
      <c r="I100">
        <v>0.88</v>
      </c>
      <c r="J100">
        <v>4000</v>
      </c>
      <c r="K100">
        <v>6000</v>
      </c>
      <c r="L100">
        <v>1.21</v>
      </c>
      <c r="M100">
        <f t="shared" si="4"/>
        <v>0.16832738600000002</v>
      </c>
      <c r="N100">
        <f t="shared" si="3"/>
        <v>0.20367613706000001</v>
      </c>
      <c r="O100">
        <v>0.4</v>
      </c>
      <c r="P100">
        <v>183042016</v>
      </c>
    </row>
    <row r="101" spans="1:16" x14ac:dyDescent="0.15">
      <c r="A101" t="s">
        <v>32</v>
      </c>
      <c r="B101" t="s">
        <v>31</v>
      </c>
      <c r="C101">
        <v>2030</v>
      </c>
      <c r="D101">
        <v>40525</v>
      </c>
      <c r="E101">
        <v>101576</v>
      </c>
      <c r="F101">
        <v>0.6</v>
      </c>
      <c r="G101">
        <v>0.22500000000000001</v>
      </c>
      <c r="H101">
        <v>0.8</v>
      </c>
      <c r="I101">
        <v>0.8</v>
      </c>
      <c r="J101">
        <v>4000</v>
      </c>
      <c r="K101">
        <v>6000</v>
      </c>
      <c r="L101">
        <v>1.2</v>
      </c>
      <c r="M101">
        <f t="shared" si="4"/>
        <v>0.18751008000000002</v>
      </c>
      <c r="N101">
        <f t="shared" si="3"/>
        <v>0.22501209600000002</v>
      </c>
      <c r="O101">
        <v>0.4</v>
      </c>
      <c r="P101">
        <v>206136786</v>
      </c>
    </row>
    <row r="102" spans="1:16" x14ac:dyDescent="0.15">
      <c r="A102" t="s">
        <v>36</v>
      </c>
      <c r="B102" t="s">
        <v>33</v>
      </c>
      <c r="C102">
        <v>2025</v>
      </c>
      <c r="D102">
        <v>50000</v>
      </c>
      <c r="E102">
        <v>150000</v>
      </c>
      <c r="F102">
        <v>0.55000000000000004</v>
      </c>
      <c r="G102">
        <v>0.2</v>
      </c>
      <c r="H102">
        <v>0.85</v>
      </c>
      <c r="I102">
        <v>0.85</v>
      </c>
      <c r="J102">
        <v>4000</v>
      </c>
      <c r="K102">
        <v>6000</v>
      </c>
      <c r="L102">
        <v>1.2</v>
      </c>
      <c r="M102">
        <f t="shared" si="4"/>
        <v>0.24650000000000002</v>
      </c>
      <c r="N102">
        <f t="shared" si="3"/>
        <v>0.29580000000000001</v>
      </c>
      <c r="O102">
        <v>0.4</v>
      </c>
      <c r="P102">
        <v>113040000</v>
      </c>
    </row>
    <row r="103" spans="1:16" x14ac:dyDescent="0.15">
      <c r="A103" t="s">
        <v>36</v>
      </c>
      <c r="B103" t="s">
        <v>33</v>
      </c>
      <c r="C103">
        <v>2026</v>
      </c>
      <c r="D103">
        <v>55000</v>
      </c>
      <c r="E103">
        <v>165000</v>
      </c>
      <c r="F103">
        <v>0.56000000000000005</v>
      </c>
      <c r="G103">
        <v>0.20200000000000001</v>
      </c>
      <c r="H103">
        <v>0.76</v>
      </c>
      <c r="I103">
        <v>0.86</v>
      </c>
      <c r="J103">
        <v>4000</v>
      </c>
      <c r="K103">
        <v>6000</v>
      </c>
      <c r="L103">
        <v>1.19</v>
      </c>
      <c r="M103">
        <f t="shared" si="4"/>
        <v>0.26561480000000004</v>
      </c>
      <c r="N103">
        <f t="shared" si="3"/>
        <v>0.31608161200000001</v>
      </c>
      <c r="O103">
        <v>0.4</v>
      </c>
      <c r="P103">
        <v>126432644.8</v>
      </c>
    </row>
    <row r="104" spans="1:16" x14ac:dyDescent="0.15">
      <c r="A104" t="s">
        <v>36</v>
      </c>
      <c r="B104" t="s">
        <v>33</v>
      </c>
      <c r="C104">
        <v>2027</v>
      </c>
      <c r="D104">
        <v>60500</v>
      </c>
      <c r="E104">
        <v>181500</v>
      </c>
      <c r="F104">
        <v>0.56999999999999995</v>
      </c>
      <c r="G104">
        <v>0.20399999999999999</v>
      </c>
      <c r="H104">
        <v>0.77</v>
      </c>
      <c r="I104">
        <v>0.87</v>
      </c>
      <c r="J104">
        <v>4000</v>
      </c>
      <c r="K104">
        <v>6000</v>
      </c>
      <c r="L104">
        <v>1.18</v>
      </c>
      <c r="M104">
        <f t="shared" si="4"/>
        <v>0.29948952000000001</v>
      </c>
      <c r="N104">
        <f t="shared" si="3"/>
        <v>0.35339763359999998</v>
      </c>
      <c r="O104">
        <v>0.4</v>
      </c>
      <c r="P104">
        <v>141359053.44</v>
      </c>
    </row>
    <row r="105" spans="1:16" x14ac:dyDescent="0.15">
      <c r="A105" t="s">
        <v>36</v>
      </c>
      <c r="B105" t="s">
        <v>33</v>
      </c>
      <c r="C105">
        <v>2028</v>
      </c>
      <c r="D105">
        <v>66550</v>
      </c>
      <c r="E105">
        <v>199650</v>
      </c>
      <c r="F105">
        <v>0.57999999999999996</v>
      </c>
      <c r="G105">
        <v>0.20799999999999999</v>
      </c>
      <c r="H105">
        <v>0.78</v>
      </c>
      <c r="I105">
        <v>0.88</v>
      </c>
      <c r="J105">
        <v>4000</v>
      </c>
      <c r="K105">
        <v>6000</v>
      </c>
      <c r="L105">
        <v>1.17</v>
      </c>
      <c r="M105">
        <f t="shared" si="4"/>
        <v>0.33969249600000001</v>
      </c>
      <c r="N105">
        <f t="shared" si="3"/>
        <v>0.39744022031999998</v>
      </c>
      <c r="O105">
        <v>0.4</v>
      </c>
      <c r="P105">
        <v>158976088.12799999</v>
      </c>
    </row>
    <row r="106" spans="1:16" x14ac:dyDescent="0.15">
      <c r="A106" t="s">
        <v>36</v>
      </c>
      <c r="B106" t="s">
        <v>33</v>
      </c>
      <c r="C106">
        <v>2029</v>
      </c>
      <c r="D106">
        <v>73200</v>
      </c>
      <c r="E106">
        <v>219615</v>
      </c>
      <c r="F106">
        <v>0.59</v>
      </c>
      <c r="G106">
        <v>0.21199999999999999</v>
      </c>
      <c r="H106">
        <v>0.79</v>
      </c>
      <c r="I106">
        <v>0.89</v>
      </c>
      <c r="J106">
        <v>4000</v>
      </c>
      <c r="K106">
        <v>6000</v>
      </c>
      <c r="L106">
        <v>1.1599999999999999</v>
      </c>
      <c r="M106">
        <f t="shared" si="4"/>
        <v>0.38509582920000007</v>
      </c>
      <c r="N106">
        <f t="shared" si="3"/>
        <v>0.44671116187200005</v>
      </c>
      <c r="O106">
        <v>0.4</v>
      </c>
      <c r="P106">
        <v>178684464.74880001</v>
      </c>
    </row>
    <row r="107" spans="1:16" x14ac:dyDescent="0.15">
      <c r="A107" t="s">
        <v>36</v>
      </c>
      <c r="B107" t="s">
        <v>33</v>
      </c>
      <c r="C107">
        <v>2030</v>
      </c>
      <c r="D107">
        <v>80520</v>
      </c>
      <c r="E107">
        <v>241576</v>
      </c>
      <c r="F107">
        <v>0.6</v>
      </c>
      <c r="G107">
        <v>0.216</v>
      </c>
      <c r="H107">
        <v>0.8</v>
      </c>
      <c r="I107">
        <v>0.9</v>
      </c>
      <c r="J107">
        <v>4000</v>
      </c>
      <c r="K107">
        <v>6000</v>
      </c>
      <c r="L107">
        <v>1.1499999999999999</v>
      </c>
      <c r="M107">
        <f t="shared" si="4"/>
        <v>0.43637264639999995</v>
      </c>
      <c r="N107">
        <f t="shared" si="3"/>
        <v>0.50182854335999993</v>
      </c>
      <c r="O107">
        <v>0.4</v>
      </c>
      <c r="P107">
        <v>200731417.34400001</v>
      </c>
    </row>
    <row r="108" spans="1:16" hidden="1" x14ac:dyDescent="0.15">
      <c r="A108" t="s">
        <v>36</v>
      </c>
      <c r="B108" t="s">
        <v>15</v>
      </c>
      <c r="C108">
        <v>2025</v>
      </c>
      <c r="D108">
        <v>45000</v>
      </c>
      <c r="E108">
        <v>150000</v>
      </c>
      <c r="F108">
        <v>0.55000000000000004</v>
      </c>
      <c r="G108">
        <v>0.15</v>
      </c>
      <c r="H108">
        <v>0.85</v>
      </c>
      <c r="I108">
        <v>0.65</v>
      </c>
      <c r="J108">
        <v>3000</v>
      </c>
      <c r="K108">
        <v>6000</v>
      </c>
      <c r="L108">
        <v>1.3</v>
      </c>
      <c r="M108">
        <f t="shared" si="4"/>
        <v>0.15086249999999998</v>
      </c>
      <c r="N108">
        <f>(D108*F108*H108*J108+E108*G108*I108*K108)*L108/1000000000</f>
        <v>0.19612125</v>
      </c>
      <c r="O108">
        <v>0.25</v>
      </c>
      <c r="P108">
        <v>43031250</v>
      </c>
    </row>
    <row r="109" spans="1:16" hidden="1" x14ac:dyDescent="0.15">
      <c r="A109" t="s">
        <v>36</v>
      </c>
      <c r="B109" t="s">
        <v>15</v>
      </c>
      <c r="C109">
        <v>2026</v>
      </c>
      <c r="D109">
        <v>47250</v>
      </c>
      <c r="E109">
        <v>165000</v>
      </c>
      <c r="F109">
        <v>0.55300000000000005</v>
      </c>
      <c r="G109">
        <v>0.153</v>
      </c>
      <c r="H109">
        <v>0.76</v>
      </c>
      <c r="I109">
        <v>0.66</v>
      </c>
      <c r="J109">
        <v>3000</v>
      </c>
      <c r="K109">
        <v>6000</v>
      </c>
      <c r="L109">
        <v>1.28</v>
      </c>
      <c r="M109">
        <f t="shared" si="4"/>
        <v>0.15954488999999999</v>
      </c>
      <c r="N109">
        <f t="shared" ref="N109:N172" si="5">(D109*F109*H109*J109+E109*G109*I109*K109)*L109/1000000000</f>
        <v>0.20421745920000001</v>
      </c>
      <c r="O109">
        <v>0.25</v>
      </c>
      <c r="P109">
        <v>48661191.450000003</v>
      </c>
    </row>
    <row r="110" spans="1:16" hidden="1" x14ac:dyDescent="0.15">
      <c r="A110" t="s">
        <v>36</v>
      </c>
      <c r="B110" t="s">
        <v>15</v>
      </c>
      <c r="C110">
        <v>2027</v>
      </c>
      <c r="D110">
        <v>49575</v>
      </c>
      <c r="E110">
        <v>181500</v>
      </c>
      <c r="F110">
        <v>0.55600000000000005</v>
      </c>
      <c r="G110">
        <v>0.156</v>
      </c>
      <c r="H110">
        <v>0.77</v>
      </c>
      <c r="I110">
        <v>0.67</v>
      </c>
      <c r="J110">
        <v>3000</v>
      </c>
      <c r="K110">
        <v>6000</v>
      </c>
      <c r="L110">
        <v>1.27</v>
      </c>
      <c r="M110">
        <f t="shared" si="4"/>
        <v>0.17749442699999998</v>
      </c>
      <c r="N110">
        <f t="shared" si="5"/>
        <v>0.22541792228999999</v>
      </c>
      <c r="O110">
        <v>0.25</v>
      </c>
      <c r="P110">
        <v>55023272.369999997</v>
      </c>
    </row>
    <row r="111" spans="1:16" hidden="1" x14ac:dyDescent="0.15">
      <c r="A111" t="s">
        <v>36</v>
      </c>
      <c r="B111" t="s">
        <v>15</v>
      </c>
      <c r="C111">
        <v>2028</v>
      </c>
      <c r="D111">
        <v>51900</v>
      </c>
      <c r="E111">
        <v>199650</v>
      </c>
      <c r="F111">
        <v>0.55900000000000005</v>
      </c>
      <c r="G111">
        <v>0.159</v>
      </c>
      <c r="H111">
        <v>0.78</v>
      </c>
      <c r="I111">
        <v>0.68</v>
      </c>
      <c r="J111">
        <v>3000</v>
      </c>
      <c r="K111">
        <v>6000</v>
      </c>
      <c r="L111">
        <v>1.26</v>
      </c>
      <c r="M111">
        <f t="shared" si="4"/>
        <v>0.19740526200000003</v>
      </c>
      <c r="N111">
        <f t="shared" si="5"/>
        <v>0.24873063012000002</v>
      </c>
      <c r="O111">
        <v>0.25</v>
      </c>
      <c r="P111">
        <v>62182657.530000001</v>
      </c>
    </row>
    <row r="112" spans="1:16" hidden="1" x14ac:dyDescent="0.15">
      <c r="A112" t="s">
        <v>36</v>
      </c>
      <c r="B112" t="s">
        <v>15</v>
      </c>
      <c r="C112">
        <v>2029</v>
      </c>
      <c r="D112">
        <v>54300</v>
      </c>
      <c r="E112">
        <v>219600</v>
      </c>
      <c r="F112">
        <v>0.56200000000000006</v>
      </c>
      <c r="G112">
        <v>0.16200000000000001</v>
      </c>
      <c r="H112">
        <v>0.79</v>
      </c>
      <c r="I112">
        <v>0.69</v>
      </c>
      <c r="J112">
        <v>3000</v>
      </c>
      <c r="K112">
        <v>6000</v>
      </c>
      <c r="L112">
        <v>1.25</v>
      </c>
      <c r="M112">
        <f t="shared" si="4"/>
        <v>0.21960567000000006</v>
      </c>
      <c r="N112">
        <f t="shared" si="5"/>
        <v>0.27450708750000008</v>
      </c>
      <c r="O112">
        <v>0.25</v>
      </c>
      <c r="P112">
        <v>70273814.400000006</v>
      </c>
    </row>
    <row r="113" spans="1:16" hidden="1" x14ac:dyDescent="0.15">
      <c r="A113" t="s">
        <v>36</v>
      </c>
      <c r="B113" t="s">
        <v>15</v>
      </c>
      <c r="C113">
        <v>2030</v>
      </c>
      <c r="D113">
        <v>56700</v>
      </c>
      <c r="E113">
        <v>241560</v>
      </c>
      <c r="F113">
        <v>0.56499999999999995</v>
      </c>
      <c r="G113">
        <v>0.16500000000000001</v>
      </c>
      <c r="H113">
        <v>0.8</v>
      </c>
      <c r="I113">
        <v>0.7</v>
      </c>
      <c r="J113">
        <v>3000</v>
      </c>
      <c r="K113">
        <v>6000</v>
      </c>
      <c r="L113">
        <v>1.26</v>
      </c>
      <c r="M113">
        <f t="shared" si="4"/>
        <v>0.24428627999999999</v>
      </c>
      <c r="N113">
        <f t="shared" si="5"/>
        <v>0.30780071279999999</v>
      </c>
      <c r="O113">
        <v>0.25</v>
      </c>
      <c r="P113">
        <v>79393041</v>
      </c>
    </row>
    <row r="114" spans="1:16" x14ac:dyDescent="0.15">
      <c r="A114" t="s">
        <v>36</v>
      </c>
      <c r="B114" t="s">
        <v>64</v>
      </c>
      <c r="C114">
        <v>2025</v>
      </c>
      <c r="D114">
        <v>50000</v>
      </c>
      <c r="E114">
        <v>150000</v>
      </c>
      <c r="F114">
        <v>0.55000000000000004</v>
      </c>
      <c r="G114">
        <v>0.2</v>
      </c>
      <c r="H114">
        <v>0.85</v>
      </c>
      <c r="I114">
        <v>0.85</v>
      </c>
      <c r="J114">
        <v>6000</v>
      </c>
      <c r="K114">
        <v>7000</v>
      </c>
      <c r="L114">
        <v>1.2</v>
      </c>
      <c r="M114">
        <f t="shared" si="4"/>
        <v>0.31875000000000003</v>
      </c>
      <c r="N114">
        <f t="shared" si="5"/>
        <v>0.38250000000000001</v>
      </c>
      <c r="O114">
        <v>0.2</v>
      </c>
      <c r="P114">
        <v>72540000</v>
      </c>
    </row>
    <row r="115" spans="1:16" x14ac:dyDescent="0.15">
      <c r="A115" t="s">
        <v>36</v>
      </c>
      <c r="B115" t="s">
        <v>64</v>
      </c>
      <c r="C115">
        <v>2026</v>
      </c>
      <c r="D115">
        <v>55000</v>
      </c>
      <c r="E115">
        <v>165000</v>
      </c>
      <c r="F115">
        <v>0.56000000000000005</v>
      </c>
      <c r="G115">
        <v>0.2</v>
      </c>
      <c r="H115">
        <v>0.76</v>
      </c>
      <c r="I115">
        <v>0.86</v>
      </c>
      <c r="J115">
        <v>6000</v>
      </c>
      <c r="K115">
        <v>7000</v>
      </c>
      <c r="L115">
        <v>1.19</v>
      </c>
      <c r="M115">
        <f t="shared" si="4"/>
        <v>0.33910800000000002</v>
      </c>
      <c r="N115">
        <f t="shared" si="5"/>
        <v>0.40353852000000001</v>
      </c>
      <c r="O115">
        <v>0.2</v>
      </c>
      <c r="P115">
        <v>80707704</v>
      </c>
    </row>
    <row r="116" spans="1:16" x14ac:dyDescent="0.15">
      <c r="A116" t="s">
        <v>36</v>
      </c>
      <c r="B116" t="s">
        <v>64</v>
      </c>
      <c r="C116">
        <v>2027</v>
      </c>
      <c r="D116">
        <v>60500</v>
      </c>
      <c r="E116">
        <v>181500</v>
      </c>
      <c r="F116">
        <v>0.56999999999999995</v>
      </c>
      <c r="G116">
        <v>0.2</v>
      </c>
      <c r="H116">
        <v>0.77</v>
      </c>
      <c r="I116">
        <v>0.87</v>
      </c>
      <c r="J116">
        <v>6000</v>
      </c>
      <c r="K116">
        <v>7000</v>
      </c>
      <c r="L116">
        <v>1.18</v>
      </c>
      <c r="M116">
        <f t="shared" si="4"/>
        <v>0.38038770000000005</v>
      </c>
      <c r="N116">
        <f t="shared" si="5"/>
        <v>0.44885748600000003</v>
      </c>
      <c r="O116">
        <v>0.2</v>
      </c>
      <c r="P116">
        <v>89771497.200000003</v>
      </c>
    </row>
    <row r="117" spans="1:16" x14ac:dyDescent="0.15">
      <c r="A117" t="s">
        <v>36</v>
      </c>
      <c r="B117" t="s">
        <v>64</v>
      </c>
      <c r="C117">
        <v>2028</v>
      </c>
      <c r="D117">
        <v>66550</v>
      </c>
      <c r="E117">
        <v>199650</v>
      </c>
      <c r="F117">
        <v>0.57999999999999996</v>
      </c>
      <c r="G117">
        <v>0.2</v>
      </c>
      <c r="H117">
        <v>0.78</v>
      </c>
      <c r="I117">
        <v>0.88</v>
      </c>
      <c r="J117">
        <v>6000</v>
      </c>
      <c r="K117">
        <v>7000</v>
      </c>
      <c r="L117">
        <v>1.17</v>
      </c>
      <c r="M117">
        <f t="shared" si="4"/>
        <v>0.42661211999999998</v>
      </c>
      <c r="N117">
        <f t="shared" si="5"/>
        <v>0.49913618039999996</v>
      </c>
      <c r="O117">
        <v>0.2</v>
      </c>
      <c r="P117">
        <v>99827236.079999998</v>
      </c>
    </row>
    <row r="118" spans="1:16" x14ac:dyDescent="0.15">
      <c r="A118" t="s">
        <v>36</v>
      </c>
      <c r="B118" t="s">
        <v>64</v>
      </c>
      <c r="C118">
        <v>2029</v>
      </c>
      <c r="D118">
        <v>73200</v>
      </c>
      <c r="E118">
        <v>219600</v>
      </c>
      <c r="F118">
        <v>0.59</v>
      </c>
      <c r="G118">
        <v>0.2</v>
      </c>
      <c r="H118">
        <v>0.79</v>
      </c>
      <c r="I118">
        <v>0.89</v>
      </c>
      <c r="J118">
        <v>6000</v>
      </c>
      <c r="K118">
        <v>7000</v>
      </c>
      <c r="L118">
        <v>1.1599999999999999</v>
      </c>
      <c r="M118">
        <f t="shared" si="4"/>
        <v>0.47833271999999999</v>
      </c>
      <c r="N118">
        <f t="shared" si="5"/>
        <v>0.55486595519999993</v>
      </c>
      <c r="O118">
        <v>0.2</v>
      </c>
      <c r="P118">
        <v>110973191.04000001</v>
      </c>
    </row>
    <row r="119" spans="1:16" x14ac:dyDescent="0.15">
      <c r="A119" t="s">
        <v>36</v>
      </c>
      <c r="B119" t="s">
        <v>64</v>
      </c>
      <c r="C119">
        <v>2030</v>
      </c>
      <c r="D119">
        <v>80500</v>
      </c>
      <c r="E119">
        <v>241500</v>
      </c>
      <c r="F119">
        <v>0.6</v>
      </c>
      <c r="G119">
        <v>0.2</v>
      </c>
      <c r="H119">
        <v>0.8</v>
      </c>
      <c r="I119">
        <v>0.9</v>
      </c>
      <c r="J119">
        <v>6000</v>
      </c>
      <c r="K119">
        <v>7000</v>
      </c>
      <c r="L119">
        <v>1.1499999999999999</v>
      </c>
      <c r="M119">
        <f t="shared" si="4"/>
        <v>0.53613</v>
      </c>
      <c r="N119">
        <f t="shared" si="5"/>
        <v>0.61654949999999997</v>
      </c>
      <c r="O119">
        <v>0.2</v>
      </c>
      <c r="P119">
        <v>123309900</v>
      </c>
    </row>
    <row r="120" spans="1:16" hidden="1" x14ac:dyDescent="0.15">
      <c r="A120" t="s">
        <v>36</v>
      </c>
      <c r="B120" t="s">
        <v>18</v>
      </c>
      <c r="C120">
        <v>2025</v>
      </c>
      <c r="D120">
        <v>50000</v>
      </c>
      <c r="E120">
        <v>150000</v>
      </c>
      <c r="F120">
        <v>0.55000000000000004</v>
      </c>
      <c r="G120">
        <v>0.2</v>
      </c>
      <c r="H120">
        <v>0.85</v>
      </c>
      <c r="I120">
        <v>0.85</v>
      </c>
      <c r="J120">
        <v>8000</v>
      </c>
      <c r="K120">
        <v>6000</v>
      </c>
      <c r="L120">
        <v>1.2</v>
      </c>
      <c r="M120">
        <f t="shared" si="4"/>
        <v>0.33999999999999997</v>
      </c>
      <c r="N120">
        <f t="shared" si="5"/>
        <v>0.40799999999999997</v>
      </c>
      <c r="O120">
        <v>0.45300000000000001</v>
      </c>
      <c r="P120">
        <v>172864800</v>
      </c>
    </row>
    <row r="121" spans="1:16" hidden="1" x14ac:dyDescent="0.15">
      <c r="A121" t="s">
        <v>36</v>
      </c>
      <c r="B121" t="s">
        <v>18</v>
      </c>
      <c r="C121">
        <v>2026</v>
      </c>
      <c r="D121">
        <v>55000</v>
      </c>
      <c r="E121">
        <v>165000</v>
      </c>
      <c r="F121">
        <v>0.56000000000000005</v>
      </c>
      <c r="G121">
        <v>0.2</v>
      </c>
      <c r="H121">
        <v>0.76</v>
      </c>
      <c r="I121">
        <v>0.86</v>
      </c>
      <c r="J121">
        <v>8000</v>
      </c>
      <c r="K121">
        <v>6000</v>
      </c>
      <c r="L121">
        <v>1.19</v>
      </c>
      <c r="M121">
        <f t="shared" si="4"/>
        <v>0.35754400000000003</v>
      </c>
      <c r="N121">
        <f t="shared" si="5"/>
        <v>0.42547736000000003</v>
      </c>
      <c r="O121">
        <v>0.45300000000000001</v>
      </c>
      <c r="P121">
        <v>192741244.08000001</v>
      </c>
    </row>
    <row r="122" spans="1:16" hidden="1" x14ac:dyDescent="0.15">
      <c r="A122" t="s">
        <v>36</v>
      </c>
      <c r="B122" t="s">
        <v>18</v>
      </c>
      <c r="C122">
        <v>2027</v>
      </c>
      <c r="D122">
        <v>60500</v>
      </c>
      <c r="E122">
        <v>181500</v>
      </c>
      <c r="F122">
        <v>0.56999999999999995</v>
      </c>
      <c r="G122">
        <v>0.2</v>
      </c>
      <c r="H122">
        <v>0.77</v>
      </c>
      <c r="I122">
        <v>0.87</v>
      </c>
      <c r="J122">
        <v>8000</v>
      </c>
      <c r="K122">
        <v>6000</v>
      </c>
      <c r="L122">
        <v>1.18</v>
      </c>
      <c r="M122">
        <f t="shared" si="4"/>
        <v>0.40191360000000004</v>
      </c>
      <c r="N122">
        <f t="shared" si="5"/>
        <v>0.47425804799999999</v>
      </c>
      <c r="O122">
        <v>0.45300000000000001</v>
      </c>
      <c r="P122">
        <v>214838895.74399999</v>
      </c>
    </row>
    <row r="123" spans="1:16" hidden="1" x14ac:dyDescent="0.15">
      <c r="A123" t="s">
        <v>36</v>
      </c>
      <c r="B123" t="s">
        <v>18</v>
      </c>
      <c r="C123">
        <v>2028</v>
      </c>
      <c r="D123">
        <v>66550</v>
      </c>
      <c r="E123">
        <v>199650</v>
      </c>
      <c r="F123">
        <v>0.57999999999999996</v>
      </c>
      <c r="G123">
        <v>0.2</v>
      </c>
      <c r="H123">
        <v>0.78</v>
      </c>
      <c r="I123">
        <v>0.88</v>
      </c>
      <c r="J123">
        <v>8000</v>
      </c>
      <c r="K123">
        <v>6000</v>
      </c>
      <c r="L123">
        <v>1.17</v>
      </c>
      <c r="M123">
        <f t="shared" si="4"/>
        <v>0.45168816000000001</v>
      </c>
      <c r="N123">
        <f t="shared" si="5"/>
        <v>0.52847514719999999</v>
      </c>
      <c r="O123">
        <v>0.45300000000000001</v>
      </c>
      <c r="P123">
        <v>239399241.6816</v>
      </c>
    </row>
    <row r="124" spans="1:16" hidden="1" x14ac:dyDescent="0.15">
      <c r="A124" t="s">
        <v>36</v>
      </c>
      <c r="B124" t="s">
        <v>18</v>
      </c>
      <c r="C124">
        <v>2029</v>
      </c>
      <c r="D124">
        <v>73205</v>
      </c>
      <c r="E124">
        <v>219615</v>
      </c>
      <c r="F124">
        <v>0.59</v>
      </c>
      <c r="G124">
        <v>0.2</v>
      </c>
      <c r="H124">
        <v>0.79</v>
      </c>
      <c r="I124">
        <v>0.89</v>
      </c>
      <c r="J124">
        <v>8000</v>
      </c>
      <c r="K124">
        <v>6000</v>
      </c>
      <c r="L124">
        <v>1.1599999999999999</v>
      </c>
      <c r="M124">
        <f t="shared" si="4"/>
        <v>0.50751562399999994</v>
      </c>
      <c r="N124">
        <f t="shared" si="5"/>
        <v>0.58871812383999989</v>
      </c>
      <c r="O124">
        <v>0.45300000000000001</v>
      </c>
      <c r="P124">
        <v>266689310.09952</v>
      </c>
    </row>
    <row r="125" spans="1:16" hidden="1" x14ac:dyDescent="0.15">
      <c r="A125" t="s">
        <v>36</v>
      </c>
      <c r="B125" t="s">
        <v>18</v>
      </c>
      <c r="C125">
        <v>2030</v>
      </c>
      <c r="D125">
        <v>80525</v>
      </c>
      <c r="E125">
        <v>241576</v>
      </c>
      <c r="F125">
        <v>0.6</v>
      </c>
      <c r="G125">
        <v>0.2</v>
      </c>
      <c r="H125">
        <v>0.8</v>
      </c>
      <c r="I125">
        <v>0.9</v>
      </c>
      <c r="J125">
        <v>8000</v>
      </c>
      <c r="K125">
        <v>6000</v>
      </c>
      <c r="L125">
        <v>1.1499999999999999</v>
      </c>
      <c r="M125">
        <f t="shared" si="4"/>
        <v>0.57011808000000008</v>
      </c>
      <c r="N125">
        <f t="shared" si="5"/>
        <v>0.655635792</v>
      </c>
      <c r="O125">
        <v>0.45300000000000001</v>
      </c>
      <c r="P125">
        <v>297003013.77600002</v>
      </c>
    </row>
    <row r="126" spans="1:16" x14ac:dyDescent="0.15">
      <c r="A126" t="s">
        <v>36</v>
      </c>
      <c r="B126" t="s">
        <v>34</v>
      </c>
      <c r="C126">
        <v>2025</v>
      </c>
      <c r="D126">
        <v>50000</v>
      </c>
      <c r="E126">
        <v>150000</v>
      </c>
      <c r="F126">
        <v>0.55000000000000004</v>
      </c>
      <c r="G126">
        <v>0.2</v>
      </c>
      <c r="H126">
        <v>0.85</v>
      </c>
      <c r="I126">
        <v>0.75</v>
      </c>
      <c r="J126">
        <v>6000</v>
      </c>
      <c r="K126">
        <v>7000</v>
      </c>
      <c r="L126">
        <v>1.2</v>
      </c>
      <c r="M126">
        <f t="shared" si="4"/>
        <v>0.29775000000000001</v>
      </c>
      <c r="N126">
        <f t="shared" si="5"/>
        <v>0.35730000000000001</v>
      </c>
      <c r="O126">
        <v>0.05</v>
      </c>
      <c r="P126">
        <v>17865000</v>
      </c>
    </row>
    <row r="127" spans="1:16" x14ac:dyDescent="0.15">
      <c r="A127" t="s">
        <v>36</v>
      </c>
      <c r="B127" t="s">
        <v>34</v>
      </c>
      <c r="C127">
        <v>2026</v>
      </c>
      <c r="D127">
        <v>55000</v>
      </c>
      <c r="E127">
        <v>165000</v>
      </c>
      <c r="F127">
        <v>0.56000000000000005</v>
      </c>
      <c r="G127">
        <v>0.20499999999999999</v>
      </c>
      <c r="H127">
        <v>0.86</v>
      </c>
      <c r="I127">
        <v>0.76</v>
      </c>
      <c r="J127">
        <v>6000</v>
      </c>
      <c r="K127">
        <v>7000</v>
      </c>
      <c r="L127">
        <v>1.19</v>
      </c>
      <c r="M127">
        <f t="shared" si="4"/>
        <v>0.33887699999999998</v>
      </c>
      <c r="N127">
        <f t="shared" si="5"/>
        <v>0.40326362999999998</v>
      </c>
      <c r="O127">
        <v>0.05</v>
      </c>
      <c r="P127">
        <v>20163181.5</v>
      </c>
    </row>
    <row r="128" spans="1:16" x14ac:dyDescent="0.15">
      <c r="A128" t="s">
        <v>36</v>
      </c>
      <c r="B128" t="s">
        <v>34</v>
      </c>
      <c r="C128">
        <v>2027</v>
      </c>
      <c r="D128">
        <v>60500</v>
      </c>
      <c r="E128">
        <v>181500</v>
      </c>
      <c r="F128">
        <v>0.56999999999999995</v>
      </c>
      <c r="G128">
        <v>0.21</v>
      </c>
      <c r="H128">
        <v>0.87</v>
      </c>
      <c r="I128">
        <v>0.77</v>
      </c>
      <c r="J128">
        <v>6000</v>
      </c>
      <c r="K128">
        <v>7000</v>
      </c>
      <c r="L128">
        <v>1.18</v>
      </c>
      <c r="M128">
        <f t="shared" si="4"/>
        <v>0.38545155000000003</v>
      </c>
      <c r="N128">
        <f t="shared" si="5"/>
        <v>0.45483282899999999</v>
      </c>
      <c r="O128">
        <v>0.05</v>
      </c>
      <c r="P128">
        <v>22741641.449999999</v>
      </c>
    </row>
    <row r="129" spans="1:16" x14ac:dyDescent="0.15">
      <c r="A129" t="s">
        <v>36</v>
      </c>
      <c r="B129" t="s">
        <v>34</v>
      </c>
      <c r="C129">
        <v>2028</v>
      </c>
      <c r="D129">
        <v>66550</v>
      </c>
      <c r="E129">
        <v>199650</v>
      </c>
      <c r="F129">
        <v>0.57999999999999996</v>
      </c>
      <c r="G129">
        <v>0.215</v>
      </c>
      <c r="H129">
        <v>0.88</v>
      </c>
      <c r="I129">
        <v>0.78</v>
      </c>
      <c r="J129">
        <v>6000</v>
      </c>
      <c r="K129">
        <v>7000</v>
      </c>
      <c r="L129">
        <v>1.17</v>
      </c>
      <c r="M129">
        <f t="shared" si="4"/>
        <v>0.438171855</v>
      </c>
      <c r="N129">
        <f t="shared" si="5"/>
        <v>0.51266107034999997</v>
      </c>
      <c r="O129">
        <v>0.05</v>
      </c>
      <c r="P129">
        <v>25633053.517499998</v>
      </c>
    </row>
    <row r="130" spans="1:16" x14ac:dyDescent="0.15">
      <c r="A130" t="s">
        <v>36</v>
      </c>
      <c r="B130" t="s">
        <v>34</v>
      </c>
      <c r="C130">
        <v>2029</v>
      </c>
      <c r="D130">
        <v>73205</v>
      </c>
      <c r="E130">
        <v>219615</v>
      </c>
      <c r="F130">
        <v>0.59</v>
      </c>
      <c r="G130">
        <v>0.22</v>
      </c>
      <c r="H130">
        <v>0.89</v>
      </c>
      <c r="I130">
        <v>0.79</v>
      </c>
      <c r="J130">
        <v>6000</v>
      </c>
      <c r="K130">
        <v>7000</v>
      </c>
      <c r="L130">
        <v>1.1599999999999999</v>
      </c>
      <c r="M130">
        <f t="shared" si="4"/>
        <v>0.49782328200000003</v>
      </c>
      <c r="N130">
        <f t="shared" si="5"/>
        <v>0.57747500711999999</v>
      </c>
      <c r="O130">
        <v>0.05</v>
      </c>
      <c r="P130">
        <v>28873750.355999999</v>
      </c>
    </row>
    <row r="131" spans="1:16" x14ac:dyDescent="0.15">
      <c r="A131" t="s">
        <v>36</v>
      </c>
      <c r="B131" t="s">
        <v>34</v>
      </c>
      <c r="C131">
        <v>2030</v>
      </c>
      <c r="D131">
        <v>80525</v>
      </c>
      <c r="E131">
        <v>241576.5</v>
      </c>
      <c r="F131">
        <v>0.6</v>
      </c>
      <c r="G131">
        <v>0.22500000000000001</v>
      </c>
      <c r="H131">
        <v>0.9</v>
      </c>
      <c r="I131">
        <v>0.8</v>
      </c>
      <c r="J131">
        <v>6000</v>
      </c>
      <c r="K131">
        <v>7000</v>
      </c>
      <c r="L131">
        <v>1.1499999999999999</v>
      </c>
      <c r="M131">
        <f t="shared" ref="M131:M194" si="6">N131/L131</f>
        <v>0.56528739000000006</v>
      </c>
      <c r="N131">
        <f t="shared" si="5"/>
        <v>0.65008049850000005</v>
      </c>
      <c r="O131">
        <v>0.05</v>
      </c>
      <c r="P131">
        <v>32504024.925000001</v>
      </c>
    </row>
    <row r="132" spans="1:16" hidden="1" x14ac:dyDescent="0.15">
      <c r="A132" t="s">
        <v>36</v>
      </c>
      <c r="B132" t="s">
        <v>13</v>
      </c>
      <c r="C132">
        <v>2025</v>
      </c>
      <c r="D132">
        <v>40000</v>
      </c>
      <c r="E132">
        <v>130000</v>
      </c>
      <c r="F132">
        <v>0.55000000000000004</v>
      </c>
      <c r="G132">
        <v>0.2</v>
      </c>
      <c r="H132">
        <v>0.85</v>
      </c>
      <c r="I132">
        <v>0.65</v>
      </c>
      <c r="J132">
        <v>3000</v>
      </c>
      <c r="K132">
        <v>5000</v>
      </c>
      <c r="L132">
        <v>1.45</v>
      </c>
      <c r="M132">
        <f t="shared" si="6"/>
        <v>0.1406</v>
      </c>
      <c r="N132">
        <f t="shared" si="5"/>
        <v>0.20387</v>
      </c>
      <c r="O132">
        <v>0.222</v>
      </c>
      <c r="P132">
        <v>45910293.75</v>
      </c>
    </row>
    <row r="133" spans="1:16" hidden="1" x14ac:dyDescent="0.15">
      <c r="A133" t="s">
        <v>36</v>
      </c>
      <c r="B133" t="s">
        <v>13</v>
      </c>
      <c r="C133">
        <v>2026</v>
      </c>
      <c r="D133">
        <v>49500</v>
      </c>
      <c r="E133">
        <v>165000</v>
      </c>
      <c r="F133">
        <v>0.56000000000000005</v>
      </c>
      <c r="G133">
        <v>0.21</v>
      </c>
      <c r="H133">
        <v>0.86</v>
      </c>
      <c r="I133">
        <v>0.66</v>
      </c>
      <c r="J133">
        <v>3000</v>
      </c>
      <c r="K133">
        <v>5000</v>
      </c>
      <c r="L133">
        <v>1.44</v>
      </c>
      <c r="M133">
        <f t="shared" si="6"/>
        <v>0.18586260000000002</v>
      </c>
      <c r="N133">
        <f t="shared" si="5"/>
        <v>0.26764214400000003</v>
      </c>
      <c r="O133">
        <v>0.222</v>
      </c>
      <c r="P133">
        <v>53999022.924000002</v>
      </c>
    </row>
    <row r="134" spans="1:16" hidden="1" x14ac:dyDescent="0.15">
      <c r="A134" t="s">
        <v>36</v>
      </c>
      <c r="B134" t="s">
        <v>13</v>
      </c>
      <c r="C134">
        <v>2027</v>
      </c>
      <c r="D134">
        <v>54450</v>
      </c>
      <c r="E134">
        <v>181500</v>
      </c>
      <c r="F134">
        <v>0.56999999999999995</v>
      </c>
      <c r="G134">
        <v>0.22</v>
      </c>
      <c r="H134">
        <v>0.87</v>
      </c>
      <c r="I134">
        <v>0.67</v>
      </c>
      <c r="J134">
        <v>3000</v>
      </c>
      <c r="K134">
        <v>5000</v>
      </c>
      <c r="L134">
        <v>1.43</v>
      </c>
      <c r="M134">
        <f t="shared" si="6"/>
        <v>0.21477076500000003</v>
      </c>
      <c r="N134">
        <f t="shared" si="5"/>
        <v>0.30712219395000001</v>
      </c>
      <c r="O134">
        <v>0.222</v>
      </c>
      <c r="P134">
        <v>63400789.712700002</v>
      </c>
    </row>
    <row r="135" spans="1:16" hidden="1" x14ac:dyDescent="0.15">
      <c r="A135" t="s">
        <v>36</v>
      </c>
      <c r="B135" t="s">
        <v>13</v>
      </c>
      <c r="C135">
        <v>2028</v>
      </c>
      <c r="D135">
        <v>59900</v>
      </c>
      <c r="E135">
        <v>199500</v>
      </c>
      <c r="F135">
        <v>0.57999999999999996</v>
      </c>
      <c r="G135">
        <v>0.23</v>
      </c>
      <c r="H135">
        <v>0.88</v>
      </c>
      <c r="I135">
        <v>0.68</v>
      </c>
      <c r="J135">
        <v>3000</v>
      </c>
      <c r="K135">
        <v>5000</v>
      </c>
      <c r="L135">
        <v>1.42</v>
      </c>
      <c r="M135">
        <f t="shared" si="6"/>
        <v>0.24772788000000001</v>
      </c>
      <c r="N135">
        <f t="shared" si="5"/>
        <v>0.35177358959999999</v>
      </c>
      <c r="O135">
        <v>0.222</v>
      </c>
      <c r="P135">
        <v>74281298.7456</v>
      </c>
    </row>
    <row r="136" spans="1:16" hidden="1" x14ac:dyDescent="0.15">
      <c r="A136" t="s">
        <v>36</v>
      </c>
      <c r="B136" t="s">
        <v>13</v>
      </c>
      <c r="C136">
        <v>2029</v>
      </c>
      <c r="D136">
        <v>65890</v>
      </c>
      <c r="E136">
        <v>219450</v>
      </c>
      <c r="F136">
        <v>0.59</v>
      </c>
      <c r="G136">
        <v>0.24</v>
      </c>
      <c r="H136">
        <v>0.88</v>
      </c>
      <c r="I136">
        <v>0.69</v>
      </c>
      <c r="J136">
        <v>3000</v>
      </c>
      <c r="K136">
        <v>5000</v>
      </c>
      <c r="L136">
        <v>1.41</v>
      </c>
      <c r="M136">
        <f t="shared" si="6"/>
        <v>0.28433486399999996</v>
      </c>
      <c r="N136">
        <f t="shared" si="5"/>
        <v>0.40091215823999993</v>
      </c>
      <c r="O136">
        <v>0.222</v>
      </c>
      <c r="P136">
        <v>86932797.829019994</v>
      </c>
    </row>
    <row r="137" spans="1:16" hidden="1" x14ac:dyDescent="0.15">
      <c r="A137" t="s">
        <v>36</v>
      </c>
      <c r="B137" t="s">
        <v>13</v>
      </c>
      <c r="C137">
        <v>2030</v>
      </c>
      <c r="D137">
        <v>72480</v>
      </c>
      <c r="E137">
        <v>241395</v>
      </c>
      <c r="F137">
        <v>0.6</v>
      </c>
      <c r="G137">
        <v>0.25</v>
      </c>
      <c r="H137">
        <v>0.88</v>
      </c>
      <c r="I137">
        <v>0.7</v>
      </c>
      <c r="J137">
        <v>3000</v>
      </c>
      <c r="K137">
        <v>5000</v>
      </c>
      <c r="L137">
        <v>1.4</v>
      </c>
      <c r="M137">
        <f t="shared" si="6"/>
        <v>0.32602894500000001</v>
      </c>
      <c r="N137">
        <f t="shared" si="5"/>
        <v>0.45644052299999999</v>
      </c>
      <c r="O137">
        <v>0.222</v>
      </c>
      <c r="P137">
        <v>101589008.4675</v>
      </c>
    </row>
    <row r="138" spans="1:16" x14ac:dyDescent="0.15">
      <c r="A138" t="s">
        <v>36</v>
      </c>
      <c r="B138" t="s">
        <v>35</v>
      </c>
      <c r="C138">
        <v>2025</v>
      </c>
      <c r="D138">
        <v>50000</v>
      </c>
      <c r="E138">
        <v>150000</v>
      </c>
      <c r="F138">
        <v>0.55000000000000004</v>
      </c>
      <c r="G138">
        <v>0.2</v>
      </c>
      <c r="H138">
        <v>0.85</v>
      </c>
      <c r="I138">
        <v>0.75</v>
      </c>
      <c r="J138">
        <v>6000</v>
      </c>
      <c r="K138">
        <v>7000</v>
      </c>
      <c r="L138">
        <v>1.18</v>
      </c>
      <c r="M138">
        <f t="shared" si="6"/>
        <v>0.29775000000000001</v>
      </c>
      <c r="N138">
        <f t="shared" si="5"/>
        <v>0.35134500000000002</v>
      </c>
      <c r="O138">
        <v>7.0000000000000007E-2</v>
      </c>
      <c r="P138">
        <v>25011000.000000004</v>
      </c>
    </row>
    <row r="139" spans="1:16" x14ac:dyDescent="0.15">
      <c r="A139" t="s">
        <v>36</v>
      </c>
      <c r="B139" t="s">
        <v>35</v>
      </c>
      <c r="C139">
        <v>2026</v>
      </c>
      <c r="D139">
        <v>55000</v>
      </c>
      <c r="E139">
        <v>165000</v>
      </c>
      <c r="F139">
        <v>0.54</v>
      </c>
      <c r="G139">
        <v>0.19800000000000001</v>
      </c>
      <c r="H139">
        <v>0.86</v>
      </c>
      <c r="I139">
        <v>0.76</v>
      </c>
      <c r="J139">
        <v>6000</v>
      </c>
      <c r="K139">
        <v>7000</v>
      </c>
      <c r="L139">
        <v>1.17</v>
      </c>
      <c r="M139">
        <f t="shared" si="6"/>
        <v>0.32705640000000002</v>
      </c>
      <c r="N139">
        <f t="shared" si="5"/>
        <v>0.382655988</v>
      </c>
      <c r="O139">
        <v>7.0000000000000007E-2</v>
      </c>
      <c r="P139">
        <v>27243798.120000001</v>
      </c>
    </row>
    <row r="140" spans="1:16" x14ac:dyDescent="0.15">
      <c r="A140" t="s">
        <v>36</v>
      </c>
      <c r="B140" t="s">
        <v>35</v>
      </c>
      <c r="C140">
        <v>2027</v>
      </c>
      <c r="D140">
        <v>60500</v>
      </c>
      <c r="E140">
        <v>181500</v>
      </c>
      <c r="F140">
        <v>0.53</v>
      </c>
      <c r="G140">
        <v>0.19600000000000001</v>
      </c>
      <c r="H140">
        <v>0.87</v>
      </c>
      <c r="I140">
        <v>0.77</v>
      </c>
      <c r="J140">
        <v>6000</v>
      </c>
      <c r="K140">
        <v>7000</v>
      </c>
      <c r="L140">
        <v>1.1599999999999999</v>
      </c>
      <c r="M140">
        <f t="shared" si="6"/>
        <v>0.35912316</v>
      </c>
      <c r="N140">
        <f t="shared" si="5"/>
        <v>0.41658286559999996</v>
      </c>
      <c r="O140">
        <v>7.0000000000000007E-2</v>
      </c>
      <c r="P140">
        <v>29663573.015999999</v>
      </c>
    </row>
    <row r="141" spans="1:16" x14ac:dyDescent="0.15">
      <c r="A141" t="s">
        <v>36</v>
      </c>
      <c r="B141" t="s">
        <v>35</v>
      </c>
      <c r="C141">
        <v>2028</v>
      </c>
      <c r="D141">
        <v>66550</v>
      </c>
      <c r="E141">
        <v>199650</v>
      </c>
      <c r="F141">
        <v>0.52</v>
      </c>
      <c r="G141">
        <v>0.19400000000000001</v>
      </c>
      <c r="H141">
        <v>0.88</v>
      </c>
      <c r="I141">
        <v>0.78</v>
      </c>
      <c r="J141">
        <v>6000</v>
      </c>
      <c r="K141">
        <v>7000</v>
      </c>
      <c r="L141">
        <v>1.1499999999999999</v>
      </c>
      <c r="M141">
        <f t="shared" si="6"/>
        <v>0.39419694599999999</v>
      </c>
      <c r="N141">
        <f t="shared" si="5"/>
        <v>0.45332648789999996</v>
      </c>
      <c r="O141">
        <v>7.0000000000000007E-2</v>
      </c>
      <c r="P141">
        <v>32284729.8774</v>
      </c>
    </row>
    <row r="142" spans="1:16" x14ac:dyDescent="0.15">
      <c r="A142" t="s">
        <v>36</v>
      </c>
      <c r="B142" t="s">
        <v>35</v>
      </c>
      <c r="C142">
        <v>2029</v>
      </c>
      <c r="D142">
        <v>73205</v>
      </c>
      <c r="E142">
        <v>219615</v>
      </c>
      <c r="F142">
        <v>0.51</v>
      </c>
      <c r="G142">
        <v>0.192</v>
      </c>
      <c r="H142">
        <v>0.89</v>
      </c>
      <c r="I142">
        <v>0.79</v>
      </c>
      <c r="J142">
        <v>6000</v>
      </c>
      <c r="K142">
        <v>7000</v>
      </c>
      <c r="L142">
        <v>1.1399999999999999</v>
      </c>
      <c r="M142">
        <f t="shared" si="6"/>
        <v>0.43254491940000006</v>
      </c>
      <c r="N142">
        <f t="shared" si="5"/>
        <v>0.49310120811600006</v>
      </c>
      <c r="O142">
        <v>7.0000000000000007E-2</v>
      </c>
      <c r="P142">
        <v>35122647.455279998</v>
      </c>
    </row>
    <row r="143" spans="1:16" x14ac:dyDescent="0.15">
      <c r="A143" t="s">
        <v>36</v>
      </c>
      <c r="B143" t="s">
        <v>35</v>
      </c>
      <c r="C143">
        <v>2030</v>
      </c>
      <c r="D143">
        <v>80525</v>
      </c>
      <c r="E143">
        <v>241576</v>
      </c>
      <c r="F143">
        <v>0.5</v>
      </c>
      <c r="G143">
        <v>0.19</v>
      </c>
      <c r="H143">
        <v>0.9</v>
      </c>
      <c r="I143">
        <v>0.8</v>
      </c>
      <c r="J143">
        <v>6000</v>
      </c>
      <c r="K143">
        <v>7000</v>
      </c>
      <c r="L143">
        <v>1.1399999999999999</v>
      </c>
      <c r="M143">
        <f t="shared" si="6"/>
        <v>0.47445436399999996</v>
      </c>
      <c r="N143">
        <f t="shared" si="5"/>
        <v>0.5408779749599999</v>
      </c>
      <c r="O143">
        <v>7.0000000000000007E-2</v>
      </c>
      <c r="P143">
        <v>38193576.302000001</v>
      </c>
    </row>
    <row r="144" spans="1:16" x14ac:dyDescent="0.15">
      <c r="A144" t="s">
        <v>41</v>
      </c>
      <c r="B144" t="s">
        <v>37</v>
      </c>
      <c r="C144">
        <v>2025</v>
      </c>
      <c r="D144">
        <v>50000</v>
      </c>
      <c r="E144">
        <v>150000</v>
      </c>
      <c r="F144">
        <v>0.55000000000000004</v>
      </c>
      <c r="G144">
        <v>0.2</v>
      </c>
      <c r="H144">
        <v>0.75</v>
      </c>
      <c r="I144">
        <v>0.85</v>
      </c>
      <c r="J144">
        <v>4000</v>
      </c>
      <c r="K144">
        <v>6000</v>
      </c>
      <c r="L144">
        <v>1.18</v>
      </c>
      <c r="M144">
        <f t="shared" si="6"/>
        <v>0.23550000000000004</v>
      </c>
      <c r="N144">
        <f t="shared" si="5"/>
        <v>0.27789000000000003</v>
      </c>
      <c r="O144">
        <v>0.4</v>
      </c>
      <c r="P144">
        <v>105504000.00000001</v>
      </c>
    </row>
    <row r="145" spans="1:16" x14ac:dyDescent="0.15">
      <c r="A145" t="s">
        <v>41</v>
      </c>
      <c r="B145" t="s">
        <v>37</v>
      </c>
      <c r="C145">
        <v>2026</v>
      </c>
      <c r="D145">
        <v>55000</v>
      </c>
      <c r="E145">
        <v>165000</v>
      </c>
      <c r="F145">
        <v>0.56000000000000005</v>
      </c>
      <c r="G145">
        <v>0.20499999999999999</v>
      </c>
      <c r="H145">
        <v>0.76</v>
      </c>
      <c r="I145">
        <v>0.86</v>
      </c>
      <c r="J145">
        <v>4000</v>
      </c>
      <c r="K145">
        <v>6000</v>
      </c>
      <c r="L145">
        <v>1.17</v>
      </c>
      <c r="M145">
        <f t="shared" si="6"/>
        <v>0.26816900000000005</v>
      </c>
      <c r="N145">
        <f t="shared" si="5"/>
        <v>0.31375773000000001</v>
      </c>
      <c r="O145">
        <v>0.4</v>
      </c>
      <c r="P145">
        <v>119067036</v>
      </c>
    </row>
    <row r="146" spans="1:16" x14ac:dyDescent="0.15">
      <c r="A146" t="s">
        <v>41</v>
      </c>
      <c r="B146" t="s">
        <v>37</v>
      </c>
      <c r="C146">
        <v>2027</v>
      </c>
      <c r="D146">
        <v>60500</v>
      </c>
      <c r="E146">
        <v>181500</v>
      </c>
      <c r="F146">
        <v>0.56999999999999995</v>
      </c>
      <c r="G146">
        <v>0.21</v>
      </c>
      <c r="H146">
        <v>0.77</v>
      </c>
      <c r="I146">
        <v>0.87</v>
      </c>
      <c r="J146">
        <v>4000</v>
      </c>
      <c r="K146">
        <v>6000</v>
      </c>
      <c r="L146">
        <v>1.1599999999999999</v>
      </c>
      <c r="M146">
        <f t="shared" si="6"/>
        <v>0.3051741</v>
      </c>
      <c r="N146">
        <f t="shared" si="5"/>
        <v>0.35400195600000001</v>
      </c>
      <c r="O146">
        <v>0.4</v>
      </c>
      <c r="P146">
        <v>134276604</v>
      </c>
    </row>
    <row r="147" spans="1:16" x14ac:dyDescent="0.15">
      <c r="A147" t="s">
        <v>41</v>
      </c>
      <c r="B147" t="s">
        <v>37</v>
      </c>
      <c r="C147">
        <v>2028</v>
      </c>
      <c r="D147">
        <v>66550</v>
      </c>
      <c r="E147">
        <v>199650</v>
      </c>
      <c r="F147">
        <v>0.57999999999999996</v>
      </c>
      <c r="G147">
        <v>0.215</v>
      </c>
      <c r="H147">
        <v>0.78</v>
      </c>
      <c r="I147">
        <v>0.88</v>
      </c>
      <c r="J147">
        <v>4000</v>
      </c>
      <c r="K147">
        <v>6000</v>
      </c>
      <c r="L147">
        <v>1.1499999999999999</v>
      </c>
      <c r="M147">
        <f t="shared" si="6"/>
        <v>0.34707156</v>
      </c>
      <c r="N147">
        <f t="shared" si="5"/>
        <v>0.39913229399999994</v>
      </c>
      <c r="O147">
        <v>0.4</v>
      </c>
      <c r="P147">
        <v>151323200</v>
      </c>
    </row>
    <row r="148" spans="1:16" x14ac:dyDescent="0.15">
      <c r="A148" t="s">
        <v>41</v>
      </c>
      <c r="B148" t="s">
        <v>37</v>
      </c>
      <c r="C148">
        <v>2029</v>
      </c>
      <c r="D148">
        <v>73200</v>
      </c>
      <c r="E148">
        <v>219600</v>
      </c>
      <c r="F148">
        <v>0.59</v>
      </c>
      <c r="G148">
        <v>0.22</v>
      </c>
      <c r="H148">
        <v>0.79</v>
      </c>
      <c r="I148">
        <v>0.89</v>
      </c>
      <c r="J148">
        <v>4000</v>
      </c>
      <c r="K148">
        <v>6000</v>
      </c>
      <c r="L148">
        <v>1.1399999999999999</v>
      </c>
      <c r="M148">
        <f t="shared" si="6"/>
        <v>0.39446016</v>
      </c>
      <c r="N148">
        <f t="shared" si="5"/>
        <v>0.44968458239999998</v>
      </c>
      <c r="O148">
        <v>0.4</v>
      </c>
      <c r="P148">
        <v>170406789</v>
      </c>
    </row>
    <row r="149" spans="1:16" x14ac:dyDescent="0.15">
      <c r="A149" t="s">
        <v>41</v>
      </c>
      <c r="B149" t="s">
        <v>37</v>
      </c>
      <c r="C149">
        <v>2030</v>
      </c>
      <c r="D149">
        <v>80500</v>
      </c>
      <c r="E149">
        <v>241500</v>
      </c>
      <c r="F149">
        <v>0.6</v>
      </c>
      <c r="G149">
        <v>0.22500000000000001</v>
      </c>
      <c r="H149">
        <v>0.8</v>
      </c>
      <c r="I149">
        <v>0.9</v>
      </c>
      <c r="J149">
        <v>4000</v>
      </c>
      <c r="K149">
        <v>6000</v>
      </c>
      <c r="L149">
        <v>1.1299999999999999</v>
      </c>
      <c r="M149">
        <f t="shared" si="6"/>
        <v>0.44798250000000001</v>
      </c>
      <c r="N149">
        <f t="shared" si="5"/>
        <v>0.50622022499999997</v>
      </c>
      <c r="O149">
        <v>0.4</v>
      </c>
      <c r="P149">
        <v>191736510</v>
      </c>
    </row>
    <row r="150" spans="1:16" x14ac:dyDescent="0.15">
      <c r="A150" t="s">
        <v>41</v>
      </c>
      <c r="B150" t="s">
        <v>64</v>
      </c>
      <c r="C150">
        <v>2025</v>
      </c>
      <c r="D150">
        <v>45000</v>
      </c>
      <c r="E150">
        <v>130000</v>
      </c>
      <c r="F150">
        <v>0.55000000000000004</v>
      </c>
      <c r="G150">
        <v>0.2</v>
      </c>
      <c r="H150">
        <v>0.75</v>
      </c>
      <c r="I150">
        <v>0.85</v>
      </c>
      <c r="J150">
        <v>4000</v>
      </c>
      <c r="K150">
        <v>6000</v>
      </c>
      <c r="L150">
        <v>1.1200000000000001</v>
      </c>
      <c r="M150">
        <f t="shared" si="6"/>
        <v>0.20685000000000001</v>
      </c>
      <c r="N150">
        <f t="shared" si="5"/>
        <v>0.23167200000000002</v>
      </c>
      <c r="O150">
        <v>0.3</v>
      </c>
      <c r="P150">
        <v>79128000</v>
      </c>
    </row>
    <row r="151" spans="1:16" x14ac:dyDescent="0.15">
      <c r="A151" t="s">
        <v>41</v>
      </c>
      <c r="B151" t="s">
        <v>64</v>
      </c>
      <c r="C151">
        <v>2026</v>
      </c>
      <c r="D151">
        <v>55000</v>
      </c>
      <c r="E151">
        <v>165000</v>
      </c>
      <c r="F151">
        <v>0.54</v>
      </c>
      <c r="G151">
        <v>0.19500000000000001</v>
      </c>
      <c r="H151">
        <v>0.76</v>
      </c>
      <c r="I151">
        <v>0.87</v>
      </c>
      <c r="J151">
        <v>4000</v>
      </c>
      <c r="K151">
        <v>6000</v>
      </c>
      <c r="L151">
        <v>1.1100000000000001</v>
      </c>
      <c r="M151">
        <f t="shared" si="6"/>
        <v>0.25824149999999996</v>
      </c>
      <c r="N151">
        <f t="shared" si="5"/>
        <v>0.28664806500000001</v>
      </c>
      <c r="O151">
        <v>0.3</v>
      </c>
      <c r="P151">
        <v>85994419</v>
      </c>
    </row>
    <row r="152" spans="1:16" x14ac:dyDescent="0.15">
      <c r="A152" t="s">
        <v>41</v>
      </c>
      <c r="B152" t="s">
        <v>64</v>
      </c>
      <c r="C152">
        <v>2027</v>
      </c>
      <c r="D152">
        <v>60500</v>
      </c>
      <c r="E152">
        <v>181500</v>
      </c>
      <c r="F152">
        <v>0.53</v>
      </c>
      <c r="G152">
        <v>0.19</v>
      </c>
      <c r="H152">
        <v>0.77</v>
      </c>
      <c r="I152">
        <v>0.88</v>
      </c>
      <c r="J152">
        <v>4000</v>
      </c>
      <c r="K152">
        <v>6000</v>
      </c>
      <c r="L152">
        <v>1.1000000000000001</v>
      </c>
      <c r="M152">
        <f t="shared" si="6"/>
        <v>0.28084100000000001</v>
      </c>
      <c r="N152">
        <f t="shared" si="5"/>
        <v>0.30892510000000001</v>
      </c>
      <c r="O152">
        <v>0.3</v>
      </c>
      <c r="P152">
        <v>92677530</v>
      </c>
    </row>
    <row r="153" spans="1:16" x14ac:dyDescent="0.15">
      <c r="A153" t="s">
        <v>41</v>
      </c>
      <c r="B153" t="s">
        <v>64</v>
      </c>
      <c r="C153">
        <v>2028</v>
      </c>
      <c r="D153">
        <v>66550</v>
      </c>
      <c r="E153">
        <v>199650</v>
      </c>
      <c r="F153">
        <v>0.52</v>
      </c>
      <c r="G153">
        <v>0.185</v>
      </c>
      <c r="H153">
        <v>0.78</v>
      </c>
      <c r="I153">
        <v>0.89</v>
      </c>
      <c r="J153">
        <v>4000</v>
      </c>
      <c r="K153">
        <v>6000</v>
      </c>
      <c r="L153">
        <v>1.0900000000000001</v>
      </c>
      <c r="M153">
        <f t="shared" si="6"/>
        <v>0.305204955</v>
      </c>
      <c r="N153">
        <f t="shared" si="5"/>
        <v>0.33267340095000003</v>
      </c>
      <c r="O153">
        <v>0.3</v>
      </c>
      <c r="P153">
        <v>99802020</v>
      </c>
    </row>
    <row r="154" spans="1:16" x14ac:dyDescent="0.15">
      <c r="A154" t="s">
        <v>41</v>
      </c>
      <c r="B154" t="s">
        <v>64</v>
      </c>
      <c r="C154">
        <v>2029</v>
      </c>
      <c r="D154">
        <v>73200</v>
      </c>
      <c r="E154">
        <v>219600</v>
      </c>
      <c r="F154">
        <v>0.51</v>
      </c>
      <c r="G154">
        <v>0.18</v>
      </c>
      <c r="H154">
        <v>0.79</v>
      </c>
      <c r="I154">
        <v>0.9</v>
      </c>
      <c r="J154">
        <v>4000</v>
      </c>
      <c r="K154">
        <v>6000</v>
      </c>
      <c r="L154">
        <v>1.08</v>
      </c>
      <c r="M154">
        <f t="shared" si="6"/>
        <v>0.33142032000000005</v>
      </c>
      <c r="N154">
        <f t="shared" si="5"/>
        <v>0.35793394560000008</v>
      </c>
      <c r="O154">
        <v>0.3</v>
      </c>
      <c r="P154">
        <v>107380184</v>
      </c>
    </row>
    <row r="155" spans="1:16" x14ac:dyDescent="0.15">
      <c r="A155" t="s">
        <v>41</v>
      </c>
      <c r="B155" t="s">
        <v>64</v>
      </c>
      <c r="C155">
        <v>2030</v>
      </c>
      <c r="D155">
        <v>80500</v>
      </c>
      <c r="E155">
        <v>241500</v>
      </c>
      <c r="F155">
        <v>0.5</v>
      </c>
      <c r="G155">
        <v>0.17499999999999999</v>
      </c>
      <c r="H155">
        <v>0.8</v>
      </c>
      <c r="I155">
        <v>0.91</v>
      </c>
      <c r="J155">
        <v>4000</v>
      </c>
      <c r="K155">
        <v>6000</v>
      </c>
      <c r="L155">
        <v>1.07</v>
      </c>
      <c r="M155">
        <f t="shared" si="6"/>
        <v>0.35955324999999994</v>
      </c>
      <c r="N155">
        <f t="shared" si="5"/>
        <v>0.38472197749999998</v>
      </c>
      <c r="O155">
        <v>0.3</v>
      </c>
      <c r="P155">
        <v>115416593</v>
      </c>
    </row>
    <row r="156" spans="1:16" x14ac:dyDescent="0.15">
      <c r="A156" t="s">
        <v>41</v>
      </c>
      <c r="B156" t="s">
        <v>38</v>
      </c>
      <c r="C156">
        <v>2025</v>
      </c>
      <c r="D156">
        <v>40000</v>
      </c>
      <c r="E156">
        <v>120000</v>
      </c>
      <c r="F156">
        <v>0.55000000000000004</v>
      </c>
      <c r="G156">
        <v>0.2</v>
      </c>
      <c r="H156">
        <v>0.75</v>
      </c>
      <c r="I156">
        <v>0.85</v>
      </c>
      <c r="J156">
        <v>6000</v>
      </c>
      <c r="K156">
        <v>8000</v>
      </c>
      <c r="L156">
        <v>1.1200000000000001</v>
      </c>
      <c r="M156">
        <f t="shared" si="6"/>
        <v>0.26219999999999993</v>
      </c>
      <c r="N156">
        <f t="shared" si="5"/>
        <v>0.29366399999999998</v>
      </c>
      <c r="O156">
        <v>0.4</v>
      </c>
      <c r="P156">
        <v>142899000</v>
      </c>
    </row>
    <row r="157" spans="1:16" x14ac:dyDescent="0.15">
      <c r="A157" t="s">
        <v>41</v>
      </c>
      <c r="B157" t="s">
        <v>38</v>
      </c>
      <c r="C157">
        <v>2026</v>
      </c>
      <c r="D157">
        <v>55000</v>
      </c>
      <c r="E157">
        <v>165000</v>
      </c>
      <c r="F157">
        <v>0.5635</v>
      </c>
      <c r="G157">
        <v>0.20599999999999999</v>
      </c>
      <c r="H157">
        <v>0.76</v>
      </c>
      <c r="I157">
        <v>0.86</v>
      </c>
      <c r="J157">
        <v>6000</v>
      </c>
      <c r="K157">
        <v>8000</v>
      </c>
      <c r="L157">
        <v>1.1100000000000001</v>
      </c>
      <c r="M157">
        <f t="shared" si="6"/>
        <v>0.37517700000000004</v>
      </c>
      <c r="N157">
        <f t="shared" si="5"/>
        <v>0.41644647000000007</v>
      </c>
      <c r="O157">
        <v>0.4</v>
      </c>
      <c r="P157">
        <v>162076464</v>
      </c>
    </row>
    <row r="158" spans="1:16" x14ac:dyDescent="0.15">
      <c r="A158" t="s">
        <v>41</v>
      </c>
      <c r="B158" t="s">
        <v>38</v>
      </c>
      <c r="C158">
        <v>2027</v>
      </c>
      <c r="D158">
        <v>60500</v>
      </c>
      <c r="E158">
        <v>181500</v>
      </c>
      <c r="F158">
        <v>0.57699999999999996</v>
      </c>
      <c r="G158">
        <v>0.21199999999999999</v>
      </c>
      <c r="H158">
        <v>0.77</v>
      </c>
      <c r="I158">
        <v>0.87</v>
      </c>
      <c r="J158">
        <v>6000</v>
      </c>
      <c r="K158">
        <v>8000</v>
      </c>
      <c r="L158">
        <v>1.1000000000000001</v>
      </c>
      <c r="M158">
        <f t="shared" si="6"/>
        <v>0.42908415000000005</v>
      </c>
      <c r="N158">
        <f t="shared" si="5"/>
        <v>0.47199256500000009</v>
      </c>
      <c r="O158">
        <v>0.4</v>
      </c>
      <c r="P158">
        <v>183648016</v>
      </c>
    </row>
    <row r="159" spans="1:16" x14ac:dyDescent="0.15">
      <c r="A159" t="s">
        <v>41</v>
      </c>
      <c r="B159" t="s">
        <v>38</v>
      </c>
      <c r="C159">
        <v>2028</v>
      </c>
      <c r="D159">
        <v>66050</v>
      </c>
      <c r="E159">
        <v>199650</v>
      </c>
      <c r="F159">
        <v>0.59150000000000003</v>
      </c>
      <c r="G159">
        <v>0.218</v>
      </c>
      <c r="H159">
        <v>0.78</v>
      </c>
      <c r="I159">
        <v>0.88</v>
      </c>
      <c r="J159">
        <v>6000</v>
      </c>
      <c r="K159">
        <v>8000</v>
      </c>
      <c r="L159">
        <v>1.0900000000000001</v>
      </c>
      <c r="M159">
        <f t="shared" si="6"/>
        <v>0.48924777899999994</v>
      </c>
      <c r="N159">
        <f t="shared" si="5"/>
        <v>0.53328007910999997</v>
      </c>
      <c r="O159">
        <v>0.4</v>
      </c>
      <c r="P159">
        <v>207441058</v>
      </c>
    </row>
    <row r="160" spans="1:16" x14ac:dyDescent="0.15">
      <c r="A160" t="s">
        <v>41</v>
      </c>
      <c r="B160" t="s">
        <v>38</v>
      </c>
      <c r="C160">
        <v>2029</v>
      </c>
      <c r="D160">
        <v>72650</v>
      </c>
      <c r="E160">
        <v>219600</v>
      </c>
      <c r="F160">
        <v>0.60599999999999998</v>
      </c>
      <c r="G160">
        <v>0.224</v>
      </c>
      <c r="H160">
        <v>0.79</v>
      </c>
      <c r="I160">
        <v>0.89</v>
      </c>
      <c r="J160">
        <v>6000</v>
      </c>
      <c r="K160">
        <v>8000</v>
      </c>
      <c r="L160">
        <v>1.08</v>
      </c>
      <c r="M160">
        <f t="shared" si="6"/>
        <v>0.55891841400000009</v>
      </c>
      <c r="N160">
        <f t="shared" si="5"/>
        <v>0.60363188712000015</v>
      </c>
      <c r="O160">
        <v>0.4</v>
      </c>
      <c r="P160">
        <v>234745734</v>
      </c>
    </row>
    <row r="161" spans="1:16" x14ac:dyDescent="0.15">
      <c r="A161" t="s">
        <v>41</v>
      </c>
      <c r="B161" t="s">
        <v>38</v>
      </c>
      <c r="C161">
        <v>2030</v>
      </c>
      <c r="D161">
        <v>79915</v>
      </c>
      <c r="E161">
        <v>241560</v>
      </c>
      <c r="F161">
        <v>0.621</v>
      </c>
      <c r="G161">
        <v>0.23</v>
      </c>
      <c r="H161">
        <v>0.8</v>
      </c>
      <c r="I161">
        <v>0.9</v>
      </c>
      <c r="J161">
        <v>6000</v>
      </c>
      <c r="K161">
        <v>8000</v>
      </c>
      <c r="L161">
        <v>1.07</v>
      </c>
      <c r="M161">
        <f t="shared" si="6"/>
        <v>0.63823399200000008</v>
      </c>
      <c r="N161">
        <f t="shared" si="5"/>
        <v>0.68291037144000011</v>
      </c>
      <c r="O161">
        <v>0.4</v>
      </c>
      <c r="P161">
        <v>265505341</v>
      </c>
    </row>
    <row r="162" spans="1:16" x14ac:dyDescent="0.15">
      <c r="A162" t="s">
        <v>41</v>
      </c>
      <c r="B162" t="s">
        <v>39</v>
      </c>
      <c r="C162">
        <v>2025</v>
      </c>
      <c r="D162">
        <v>35000</v>
      </c>
      <c r="E162">
        <v>100000</v>
      </c>
      <c r="F162">
        <v>0.55000000000000004</v>
      </c>
      <c r="G162">
        <v>0.2</v>
      </c>
      <c r="H162">
        <v>0.85</v>
      </c>
      <c r="I162">
        <v>0.75</v>
      </c>
      <c r="J162">
        <v>4000</v>
      </c>
      <c r="K162">
        <v>6000</v>
      </c>
      <c r="L162">
        <v>1.0900000000000001</v>
      </c>
      <c r="M162">
        <f t="shared" si="6"/>
        <v>0.15544999999999998</v>
      </c>
      <c r="N162">
        <f t="shared" si="5"/>
        <v>0.16944049999999999</v>
      </c>
      <c r="O162">
        <v>0.15</v>
      </c>
      <c r="P162">
        <v>38388000</v>
      </c>
    </row>
    <row r="163" spans="1:16" x14ac:dyDescent="0.15">
      <c r="A163" t="s">
        <v>41</v>
      </c>
      <c r="B163" t="s">
        <v>39</v>
      </c>
      <c r="C163">
        <v>2026</v>
      </c>
      <c r="D163">
        <v>55000</v>
      </c>
      <c r="E163">
        <v>165000</v>
      </c>
      <c r="F163">
        <v>0.54</v>
      </c>
      <c r="G163">
        <v>0.19500000000000001</v>
      </c>
      <c r="H163">
        <v>0.86</v>
      </c>
      <c r="I163">
        <v>0.76</v>
      </c>
      <c r="J163">
        <v>4000</v>
      </c>
      <c r="K163">
        <v>6000</v>
      </c>
      <c r="L163">
        <v>1.08</v>
      </c>
      <c r="M163">
        <f t="shared" si="6"/>
        <v>0.248886</v>
      </c>
      <c r="N163">
        <f t="shared" si="5"/>
        <v>0.26879688000000002</v>
      </c>
      <c r="O163">
        <v>0.15</v>
      </c>
      <c r="P163">
        <v>41439519</v>
      </c>
    </row>
    <row r="164" spans="1:16" x14ac:dyDescent="0.15">
      <c r="A164" t="s">
        <v>41</v>
      </c>
      <c r="B164" t="s">
        <v>39</v>
      </c>
      <c r="C164">
        <v>2027</v>
      </c>
      <c r="D164">
        <v>60500</v>
      </c>
      <c r="E164">
        <v>181500</v>
      </c>
      <c r="F164">
        <v>0.53</v>
      </c>
      <c r="G164">
        <v>0.191</v>
      </c>
      <c r="H164">
        <v>0.87</v>
      </c>
      <c r="I164">
        <v>0.77</v>
      </c>
      <c r="J164">
        <v>4000</v>
      </c>
      <c r="K164">
        <v>6000</v>
      </c>
      <c r="L164">
        <v>1.07</v>
      </c>
      <c r="M164">
        <f t="shared" si="6"/>
        <v>0.27174543000000001</v>
      </c>
      <c r="N164">
        <f t="shared" si="5"/>
        <v>0.29076761010000002</v>
      </c>
      <c r="O164">
        <v>0.15</v>
      </c>
      <c r="P164">
        <v>44837996</v>
      </c>
    </row>
    <row r="165" spans="1:16" x14ac:dyDescent="0.15">
      <c r="A165" t="s">
        <v>41</v>
      </c>
      <c r="B165" t="s">
        <v>39</v>
      </c>
      <c r="C165">
        <v>2028</v>
      </c>
      <c r="D165">
        <v>66550</v>
      </c>
      <c r="E165">
        <v>199650</v>
      </c>
      <c r="F165">
        <v>0.52</v>
      </c>
      <c r="G165">
        <v>0.187</v>
      </c>
      <c r="H165">
        <v>0.88</v>
      </c>
      <c r="I165">
        <v>0.78</v>
      </c>
      <c r="J165">
        <v>4000</v>
      </c>
      <c r="K165">
        <v>6000</v>
      </c>
      <c r="L165">
        <v>1.06</v>
      </c>
      <c r="M165">
        <f t="shared" si="6"/>
        <v>0.29653881399999998</v>
      </c>
      <c r="N165">
        <f t="shared" si="5"/>
        <v>0.31433114284000002</v>
      </c>
      <c r="O165">
        <v>0.15</v>
      </c>
      <c r="P165">
        <v>48484096</v>
      </c>
    </row>
    <row r="166" spans="1:16" x14ac:dyDescent="0.15">
      <c r="A166" t="s">
        <v>41</v>
      </c>
      <c r="B166" t="s">
        <v>39</v>
      </c>
      <c r="C166">
        <v>2029</v>
      </c>
      <c r="D166">
        <v>73200</v>
      </c>
      <c r="E166">
        <v>219600</v>
      </c>
      <c r="F166">
        <v>0.51</v>
      </c>
      <c r="G166">
        <v>0.183</v>
      </c>
      <c r="H166">
        <v>0.89</v>
      </c>
      <c r="I166">
        <v>0.79</v>
      </c>
      <c r="J166">
        <v>4000</v>
      </c>
      <c r="K166">
        <v>6000</v>
      </c>
      <c r="L166">
        <v>1.05</v>
      </c>
      <c r="M166">
        <f t="shared" si="6"/>
        <v>0.32338735199999996</v>
      </c>
      <c r="N166">
        <f t="shared" si="5"/>
        <v>0.3395567196</v>
      </c>
      <c r="O166">
        <v>0.15</v>
      </c>
      <c r="P166">
        <v>52388751</v>
      </c>
    </row>
    <row r="167" spans="1:16" x14ac:dyDescent="0.15">
      <c r="A167" t="s">
        <v>41</v>
      </c>
      <c r="B167" t="s">
        <v>39</v>
      </c>
      <c r="C167">
        <v>2030</v>
      </c>
      <c r="D167">
        <v>80500</v>
      </c>
      <c r="E167">
        <v>241560</v>
      </c>
      <c r="F167">
        <v>0.5</v>
      </c>
      <c r="G167">
        <v>0.17899999999999999</v>
      </c>
      <c r="H167">
        <v>0.9</v>
      </c>
      <c r="I167">
        <v>0.8</v>
      </c>
      <c r="J167">
        <v>4000</v>
      </c>
      <c r="K167">
        <v>6000</v>
      </c>
      <c r="L167">
        <v>1.04</v>
      </c>
      <c r="M167">
        <f t="shared" si="6"/>
        <v>0.35244835200000002</v>
      </c>
      <c r="N167">
        <f t="shared" si="5"/>
        <v>0.36654628608000001</v>
      </c>
      <c r="O167">
        <v>0.15</v>
      </c>
      <c r="P167">
        <v>56567960</v>
      </c>
    </row>
    <row r="168" spans="1:16" x14ac:dyDescent="0.15">
      <c r="A168" t="s">
        <v>41</v>
      </c>
      <c r="B168" t="s">
        <v>40</v>
      </c>
      <c r="C168">
        <v>2025</v>
      </c>
      <c r="D168">
        <v>50000</v>
      </c>
      <c r="E168">
        <v>150000</v>
      </c>
      <c r="F168">
        <v>0.55000000000000004</v>
      </c>
      <c r="G168">
        <v>0.2</v>
      </c>
      <c r="H168">
        <v>0.75</v>
      </c>
      <c r="I168">
        <v>0.85</v>
      </c>
      <c r="J168">
        <v>4000</v>
      </c>
      <c r="K168">
        <v>6000</v>
      </c>
      <c r="L168">
        <v>1.2</v>
      </c>
      <c r="M168">
        <f t="shared" si="6"/>
        <v>0.23550000000000001</v>
      </c>
      <c r="N168">
        <f t="shared" si="5"/>
        <v>0.28260000000000002</v>
      </c>
      <c r="O168">
        <v>0.4</v>
      </c>
      <c r="P168">
        <v>113040000</v>
      </c>
    </row>
    <row r="169" spans="1:16" x14ac:dyDescent="0.15">
      <c r="A169" t="s">
        <v>41</v>
      </c>
      <c r="B169" t="s">
        <v>40</v>
      </c>
      <c r="C169">
        <v>2026</v>
      </c>
      <c r="D169">
        <v>55000</v>
      </c>
      <c r="E169">
        <v>165000</v>
      </c>
      <c r="F169">
        <v>0.56000000000000005</v>
      </c>
      <c r="G169">
        <v>0.20499999999999999</v>
      </c>
      <c r="H169">
        <v>0.76</v>
      </c>
      <c r="I169">
        <v>0.86</v>
      </c>
      <c r="J169">
        <v>4000</v>
      </c>
      <c r="K169">
        <v>6000</v>
      </c>
      <c r="L169">
        <v>1.19</v>
      </c>
      <c r="M169">
        <f t="shared" si="6"/>
        <v>0.26816899999999999</v>
      </c>
      <c r="N169">
        <f t="shared" si="5"/>
        <v>0.31912110999999999</v>
      </c>
      <c r="O169">
        <v>0.4</v>
      </c>
      <c r="P169">
        <v>127648444</v>
      </c>
    </row>
    <row r="170" spans="1:16" x14ac:dyDescent="0.15">
      <c r="A170" t="s">
        <v>41</v>
      </c>
      <c r="B170" t="s">
        <v>40</v>
      </c>
      <c r="C170">
        <v>2027</v>
      </c>
      <c r="D170">
        <v>60500</v>
      </c>
      <c r="E170">
        <v>181500</v>
      </c>
      <c r="F170">
        <v>0.56999999999999995</v>
      </c>
      <c r="G170">
        <v>0.21</v>
      </c>
      <c r="H170">
        <v>0.77</v>
      </c>
      <c r="I170">
        <v>0.87</v>
      </c>
      <c r="J170">
        <v>4000</v>
      </c>
      <c r="K170">
        <v>6000</v>
      </c>
      <c r="L170">
        <v>1.18</v>
      </c>
      <c r="M170">
        <f t="shared" si="6"/>
        <v>0.3051741</v>
      </c>
      <c r="N170">
        <f t="shared" si="5"/>
        <v>0.360105438</v>
      </c>
      <c r="O170">
        <v>0.4</v>
      </c>
      <c r="P170">
        <v>144042175</v>
      </c>
    </row>
    <row r="171" spans="1:16" x14ac:dyDescent="0.15">
      <c r="A171" t="s">
        <v>41</v>
      </c>
      <c r="B171" t="s">
        <v>40</v>
      </c>
      <c r="C171">
        <v>2028</v>
      </c>
      <c r="D171">
        <v>66500</v>
      </c>
      <c r="E171">
        <v>199500</v>
      </c>
      <c r="F171">
        <v>0.57999999999999996</v>
      </c>
      <c r="G171">
        <v>0.215</v>
      </c>
      <c r="H171">
        <v>0.78</v>
      </c>
      <c r="I171">
        <v>0.88</v>
      </c>
      <c r="J171">
        <v>4000</v>
      </c>
      <c r="K171">
        <v>6000</v>
      </c>
      <c r="L171">
        <v>1.17</v>
      </c>
      <c r="M171">
        <f t="shared" si="6"/>
        <v>0.34681080000000003</v>
      </c>
      <c r="N171">
        <f t="shared" si="5"/>
        <v>0.40576863600000002</v>
      </c>
      <c r="O171">
        <v>0.4</v>
      </c>
      <c r="P171">
        <v>162307454</v>
      </c>
    </row>
    <row r="172" spans="1:16" x14ac:dyDescent="0.15">
      <c r="A172" t="s">
        <v>41</v>
      </c>
      <c r="B172" t="s">
        <v>40</v>
      </c>
      <c r="C172">
        <v>2029</v>
      </c>
      <c r="D172">
        <v>73000</v>
      </c>
      <c r="E172">
        <v>219500</v>
      </c>
      <c r="F172">
        <v>0.59</v>
      </c>
      <c r="G172">
        <v>0.22</v>
      </c>
      <c r="H172">
        <v>0.79</v>
      </c>
      <c r="I172">
        <v>0.89</v>
      </c>
      <c r="J172">
        <v>4000</v>
      </c>
      <c r="K172">
        <v>6000</v>
      </c>
      <c r="L172">
        <v>1.1599999999999999</v>
      </c>
      <c r="M172">
        <f t="shared" si="6"/>
        <v>0.39396979999999998</v>
      </c>
      <c r="N172">
        <f t="shared" si="5"/>
        <v>0.45700496799999996</v>
      </c>
      <c r="O172">
        <v>0.4</v>
      </c>
      <c r="P172">
        <v>182801987</v>
      </c>
    </row>
    <row r="173" spans="1:16" x14ac:dyDescent="0.15">
      <c r="A173" t="s">
        <v>41</v>
      </c>
      <c r="B173" t="s">
        <v>40</v>
      </c>
      <c r="C173">
        <v>2030</v>
      </c>
      <c r="D173">
        <v>80000</v>
      </c>
      <c r="E173">
        <v>240000</v>
      </c>
      <c r="F173">
        <v>0.6</v>
      </c>
      <c r="G173">
        <v>0.22500000000000001</v>
      </c>
      <c r="H173">
        <v>0.8</v>
      </c>
      <c r="I173">
        <v>0.9</v>
      </c>
      <c r="J173">
        <v>4000</v>
      </c>
      <c r="K173">
        <v>6000</v>
      </c>
      <c r="L173">
        <v>1.1499999999999999</v>
      </c>
      <c r="M173">
        <f t="shared" si="6"/>
        <v>0.44520000000000004</v>
      </c>
      <c r="N173">
        <f t="shared" ref="N173:N233" si="7">(D173*F173*H173*J173+E173*G173*I173*K173)*L173/1000000000</f>
        <v>0.51197999999999999</v>
      </c>
      <c r="O173">
        <v>0.4</v>
      </c>
      <c r="P173">
        <v>204792000</v>
      </c>
    </row>
    <row r="174" spans="1:16" x14ac:dyDescent="0.15">
      <c r="A174" t="s">
        <v>51</v>
      </c>
      <c r="B174" t="s">
        <v>42</v>
      </c>
      <c r="C174">
        <v>2025</v>
      </c>
      <c r="D174">
        <v>50000</v>
      </c>
      <c r="E174">
        <v>150000</v>
      </c>
      <c r="F174">
        <v>0.55000000000000004</v>
      </c>
      <c r="G174">
        <v>0.2</v>
      </c>
      <c r="H174">
        <v>0.75</v>
      </c>
      <c r="I174">
        <v>0.85</v>
      </c>
      <c r="J174">
        <v>6000</v>
      </c>
      <c r="K174">
        <v>7200</v>
      </c>
      <c r="L174">
        <v>1.2</v>
      </c>
      <c r="M174">
        <f t="shared" si="6"/>
        <v>0.30735000000000001</v>
      </c>
      <c r="N174">
        <f t="shared" si="7"/>
        <v>0.36881999999999998</v>
      </c>
      <c r="O174">
        <v>0.4</v>
      </c>
      <c r="P174">
        <v>147528000</v>
      </c>
    </row>
    <row r="175" spans="1:16" x14ac:dyDescent="0.15">
      <c r="A175" t="s">
        <v>51</v>
      </c>
      <c r="B175" t="s">
        <v>42</v>
      </c>
      <c r="C175">
        <v>2026</v>
      </c>
      <c r="D175">
        <v>55000</v>
      </c>
      <c r="E175">
        <v>165000</v>
      </c>
      <c r="F175">
        <v>0.55300000000000005</v>
      </c>
      <c r="G175">
        <v>0.20200000000000001</v>
      </c>
      <c r="H175">
        <v>0.76</v>
      </c>
      <c r="I175">
        <v>0.86</v>
      </c>
      <c r="J175">
        <v>6000</v>
      </c>
      <c r="K175">
        <v>7200</v>
      </c>
      <c r="L175">
        <v>1.19</v>
      </c>
      <c r="M175">
        <f t="shared" si="6"/>
        <v>0.34507176000000001</v>
      </c>
      <c r="N175">
        <f t="shared" si="7"/>
        <v>0.41063539439999996</v>
      </c>
      <c r="O175">
        <v>0.4</v>
      </c>
      <c r="P175">
        <v>164254157.75999999</v>
      </c>
    </row>
    <row r="176" spans="1:16" x14ac:dyDescent="0.15">
      <c r="A176" t="s">
        <v>51</v>
      </c>
      <c r="B176" t="s">
        <v>42</v>
      </c>
      <c r="C176">
        <v>2027</v>
      </c>
      <c r="D176">
        <v>60500</v>
      </c>
      <c r="E176">
        <v>181500</v>
      </c>
      <c r="F176">
        <v>0.55600000000000005</v>
      </c>
      <c r="G176">
        <v>0.20399999999999999</v>
      </c>
      <c r="H176">
        <v>0.77</v>
      </c>
      <c r="I176">
        <v>0.87</v>
      </c>
      <c r="J176">
        <v>6000</v>
      </c>
      <c r="K176">
        <v>7200</v>
      </c>
      <c r="L176">
        <v>1.18</v>
      </c>
      <c r="M176">
        <f t="shared" si="6"/>
        <v>0.38733842400000001</v>
      </c>
      <c r="N176">
        <f t="shared" si="7"/>
        <v>0.45705934032000001</v>
      </c>
      <c r="O176">
        <v>0.4</v>
      </c>
      <c r="P176">
        <v>182823736.12799999</v>
      </c>
    </row>
    <row r="177" spans="1:16" x14ac:dyDescent="0.15">
      <c r="A177" t="s">
        <v>51</v>
      </c>
      <c r="B177" t="s">
        <v>42</v>
      </c>
      <c r="C177">
        <v>2028</v>
      </c>
      <c r="D177">
        <v>66550</v>
      </c>
      <c r="E177">
        <v>199650</v>
      </c>
      <c r="F177">
        <v>0.55900000000000005</v>
      </c>
      <c r="G177">
        <v>0.20599999999999999</v>
      </c>
      <c r="H177">
        <v>0.78</v>
      </c>
      <c r="I177">
        <v>0.88</v>
      </c>
      <c r="J177">
        <v>6000</v>
      </c>
      <c r="K177">
        <v>7200</v>
      </c>
      <c r="L177">
        <v>1.17</v>
      </c>
      <c r="M177">
        <f t="shared" si="6"/>
        <v>0.43468916039999994</v>
      </c>
      <c r="N177">
        <f t="shared" si="7"/>
        <v>0.50858631766799989</v>
      </c>
      <c r="O177">
        <v>0.4</v>
      </c>
      <c r="P177">
        <v>203434527.06720001</v>
      </c>
    </row>
    <row r="178" spans="1:16" x14ac:dyDescent="0.15">
      <c r="A178" t="s">
        <v>51</v>
      </c>
      <c r="B178" t="s">
        <v>42</v>
      </c>
      <c r="C178">
        <v>2029</v>
      </c>
      <c r="D178">
        <v>73205</v>
      </c>
      <c r="E178">
        <v>219615</v>
      </c>
      <c r="F178">
        <v>0.56200000000000006</v>
      </c>
      <c r="G178">
        <v>0.20799999999999999</v>
      </c>
      <c r="H178">
        <v>0.79</v>
      </c>
      <c r="I178">
        <v>0.89</v>
      </c>
      <c r="J178">
        <v>6000</v>
      </c>
      <c r="K178">
        <v>7200</v>
      </c>
      <c r="L178">
        <v>1.1599999999999999</v>
      </c>
      <c r="M178">
        <f t="shared" si="6"/>
        <v>0.48772626276000003</v>
      </c>
      <c r="N178">
        <f t="shared" si="7"/>
        <v>0.56576246480159997</v>
      </c>
      <c r="O178">
        <v>0.4</v>
      </c>
      <c r="P178">
        <v>226304985.92063999</v>
      </c>
    </row>
    <row r="179" spans="1:16" x14ac:dyDescent="0.15">
      <c r="A179" t="s">
        <v>51</v>
      </c>
      <c r="B179" t="s">
        <v>42</v>
      </c>
      <c r="C179">
        <v>2030</v>
      </c>
      <c r="D179">
        <v>80525</v>
      </c>
      <c r="E179">
        <v>241576</v>
      </c>
      <c r="F179">
        <v>0.56499999999999995</v>
      </c>
      <c r="G179">
        <v>0.21</v>
      </c>
      <c r="H179">
        <v>0.8</v>
      </c>
      <c r="I179">
        <v>0.9</v>
      </c>
      <c r="J179">
        <v>6000</v>
      </c>
      <c r="K179">
        <v>7200</v>
      </c>
      <c r="L179">
        <v>1.1499999999999999</v>
      </c>
      <c r="M179">
        <f t="shared" si="6"/>
        <v>0.5471204207999999</v>
      </c>
      <c r="N179">
        <f t="shared" si="7"/>
        <v>0.62918848391999982</v>
      </c>
      <c r="O179">
        <v>0.4</v>
      </c>
      <c r="P179">
        <v>251675393.56799999</v>
      </c>
    </row>
    <row r="180" spans="1:16" hidden="1" x14ac:dyDescent="0.15">
      <c r="A180" t="s">
        <v>51</v>
      </c>
      <c r="B180" t="s">
        <v>43</v>
      </c>
      <c r="C180">
        <v>2025</v>
      </c>
      <c r="D180">
        <v>45000</v>
      </c>
      <c r="E180">
        <v>130000</v>
      </c>
      <c r="F180">
        <v>0.55000000000000004</v>
      </c>
      <c r="G180">
        <v>0.2</v>
      </c>
      <c r="H180">
        <v>0.75</v>
      </c>
      <c r="I180">
        <v>0.7</v>
      </c>
      <c r="J180">
        <v>4000</v>
      </c>
      <c r="K180">
        <v>6000</v>
      </c>
      <c r="L180">
        <v>1.3</v>
      </c>
      <c r="M180">
        <f t="shared" si="6"/>
        <v>0.18345</v>
      </c>
      <c r="N180">
        <f t="shared" si="7"/>
        <v>0.238485</v>
      </c>
      <c r="O180">
        <v>0.1</v>
      </c>
      <c r="P180">
        <v>23940000</v>
      </c>
    </row>
    <row r="181" spans="1:16" hidden="1" x14ac:dyDescent="0.15">
      <c r="A181" t="s">
        <v>51</v>
      </c>
      <c r="B181" t="s">
        <v>43</v>
      </c>
      <c r="C181">
        <v>2026</v>
      </c>
      <c r="D181">
        <v>55000</v>
      </c>
      <c r="E181">
        <v>145000</v>
      </c>
      <c r="F181">
        <v>0.56000000000000005</v>
      </c>
      <c r="G181">
        <v>0.20499999999999999</v>
      </c>
      <c r="H181">
        <v>0.76</v>
      </c>
      <c r="I181">
        <v>0.71</v>
      </c>
      <c r="J181">
        <v>4000</v>
      </c>
      <c r="K181">
        <v>6000</v>
      </c>
      <c r="L181">
        <v>1.29</v>
      </c>
      <c r="M181">
        <f t="shared" si="6"/>
        <v>0.2202605</v>
      </c>
      <c r="N181">
        <f t="shared" si="7"/>
        <v>0.284136045</v>
      </c>
      <c r="O181">
        <v>0.1</v>
      </c>
      <c r="P181">
        <v>27081901</v>
      </c>
    </row>
    <row r="182" spans="1:16" hidden="1" x14ac:dyDescent="0.15">
      <c r="A182" t="s">
        <v>51</v>
      </c>
      <c r="B182" t="s">
        <v>43</v>
      </c>
      <c r="C182">
        <v>2027</v>
      </c>
      <c r="D182">
        <v>60500</v>
      </c>
      <c r="E182">
        <v>151500</v>
      </c>
      <c r="F182">
        <v>0.56999999999999995</v>
      </c>
      <c r="G182">
        <v>0.21</v>
      </c>
      <c r="H182">
        <v>0.77</v>
      </c>
      <c r="I182">
        <v>0.72</v>
      </c>
      <c r="J182">
        <v>4000</v>
      </c>
      <c r="K182">
        <v>6000</v>
      </c>
      <c r="L182">
        <v>1.28</v>
      </c>
      <c r="M182">
        <f t="shared" si="6"/>
        <v>0.2436546</v>
      </c>
      <c r="N182">
        <f t="shared" si="7"/>
        <v>0.31187788799999999</v>
      </c>
      <c r="O182">
        <v>0.1</v>
      </c>
      <c r="P182">
        <v>30613459.800000001</v>
      </c>
    </row>
    <row r="183" spans="1:16" hidden="1" x14ac:dyDescent="0.15">
      <c r="A183" t="s">
        <v>51</v>
      </c>
      <c r="B183" t="s">
        <v>43</v>
      </c>
      <c r="C183">
        <v>2028</v>
      </c>
      <c r="D183">
        <v>66550</v>
      </c>
      <c r="E183">
        <v>169650</v>
      </c>
      <c r="F183">
        <v>0.57999999999999996</v>
      </c>
      <c r="G183">
        <v>0.215</v>
      </c>
      <c r="H183">
        <v>0.78</v>
      </c>
      <c r="I183">
        <v>0.73</v>
      </c>
      <c r="J183">
        <v>4000</v>
      </c>
      <c r="K183">
        <v>6000</v>
      </c>
      <c r="L183">
        <v>1.27</v>
      </c>
      <c r="M183">
        <f t="shared" si="6"/>
        <v>0.28018828499999998</v>
      </c>
      <c r="N183">
        <f t="shared" si="7"/>
        <v>0.35583912195</v>
      </c>
      <c r="O183">
        <v>0.1</v>
      </c>
      <c r="P183">
        <v>34580737.619999997</v>
      </c>
    </row>
    <row r="184" spans="1:16" hidden="1" x14ac:dyDescent="0.15">
      <c r="A184" t="s">
        <v>51</v>
      </c>
      <c r="B184" t="s">
        <v>43</v>
      </c>
      <c r="C184">
        <v>2029</v>
      </c>
      <c r="D184">
        <v>73205</v>
      </c>
      <c r="E184">
        <v>179615</v>
      </c>
      <c r="F184">
        <v>0.59</v>
      </c>
      <c r="G184">
        <v>0.22</v>
      </c>
      <c r="H184">
        <v>0.79</v>
      </c>
      <c r="I184">
        <v>0.74</v>
      </c>
      <c r="J184">
        <v>4000</v>
      </c>
      <c r="K184">
        <v>6000</v>
      </c>
      <c r="L184">
        <v>1.26</v>
      </c>
      <c r="M184">
        <f t="shared" si="6"/>
        <v>0.31193133399999995</v>
      </c>
      <c r="N184">
        <f t="shared" si="7"/>
        <v>0.39303348083999995</v>
      </c>
      <c r="O184">
        <v>0.1</v>
      </c>
      <c r="P184">
        <v>39035014.303999998</v>
      </c>
    </row>
    <row r="185" spans="1:16" hidden="1" x14ac:dyDescent="0.15">
      <c r="A185" t="s">
        <v>51</v>
      </c>
      <c r="B185" t="s">
        <v>43</v>
      </c>
      <c r="C185">
        <v>2030</v>
      </c>
      <c r="D185">
        <v>80525</v>
      </c>
      <c r="E185">
        <v>181576</v>
      </c>
      <c r="F185">
        <v>0.6</v>
      </c>
      <c r="G185">
        <v>0.22500000000000001</v>
      </c>
      <c r="H185">
        <v>0.8</v>
      </c>
      <c r="I185">
        <v>0.75</v>
      </c>
      <c r="J185">
        <v>4000</v>
      </c>
      <c r="K185">
        <v>6000</v>
      </c>
      <c r="L185">
        <v>1.25</v>
      </c>
      <c r="M185">
        <f t="shared" si="6"/>
        <v>0.33845369999999997</v>
      </c>
      <c r="N185">
        <f t="shared" si="7"/>
        <v>0.42306712499999999</v>
      </c>
      <c r="O185">
        <v>0.1</v>
      </c>
      <c r="P185">
        <v>44033191.799999997</v>
      </c>
    </row>
    <row r="186" spans="1:16" x14ac:dyDescent="0.15">
      <c r="A186" t="s">
        <v>51</v>
      </c>
      <c r="B186" t="s">
        <v>44</v>
      </c>
      <c r="C186">
        <v>2025</v>
      </c>
      <c r="D186">
        <v>50000</v>
      </c>
      <c r="E186">
        <v>150000</v>
      </c>
      <c r="F186">
        <v>0.55000000000000004</v>
      </c>
      <c r="G186">
        <v>0.2</v>
      </c>
      <c r="H186">
        <v>0.75</v>
      </c>
      <c r="I186">
        <v>0.85</v>
      </c>
      <c r="J186">
        <v>4000</v>
      </c>
      <c r="K186">
        <v>6000</v>
      </c>
      <c r="L186">
        <v>1.1499999999999999</v>
      </c>
      <c r="M186">
        <f t="shared" si="6"/>
        <v>0.23550000000000001</v>
      </c>
      <c r="N186">
        <f t="shared" si="7"/>
        <v>0.27082499999999998</v>
      </c>
      <c r="O186">
        <v>0.25</v>
      </c>
      <c r="P186">
        <v>70650000</v>
      </c>
    </row>
    <row r="187" spans="1:16" x14ac:dyDescent="0.15">
      <c r="A187" t="s">
        <v>51</v>
      </c>
      <c r="B187" t="s">
        <v>44</v>
      </c>
      <c r="C187">
        <v>2026</v>
      </c>
      <c r="D187">
        <v>55000</v>
      </c>
      <c r="E187">
        <v>165000</v>
      </c>
      <c r="F187">
        <v>0.55300000000000005</v>
      </c>
      <c r="G187">
        <v>0.19800000000000001</v>
      </c>
      <c r="H187">
        <v>0.76</v>
      </c>
      <c r="I187">
        <v>0.86</v>
      </c>
      <c r="J187">
        <v>4000</v>
      </c>
      <c r="K187">
        <v>6000</v>
      </c>
      <c r="L187">
        <v>1.1399999999999999</v>
      </c>
      <c r="M187">
        <f t="shared" si="6"/>
        <v>0.26103880000000002</v>
      </c>
      <c r="N187">
        <f t="shared" si="7"/>
        <v>0.297584232</v>
      </c>
      <c r="O187">
        <v>0.25</v>
      </c>
      <c r="P187">
        <v>77659043</v>
      </c>
    </row>
    <row r="188" spans="1:16" x14ac:dyDescent="0.15">
      <c r="A188" t="s">
        <v>51</v>
      </c>
      <c r="B188" t="s">
        <v>44</v>
      </c>
      <c r="C188">
        <v>2027</v>
      </c>
      <c r="D188">
        <v>60500</v>
      </c>
      <c r="E188">
        <v>181500</v>
      </c>
      <c r="F188">
        <v>0.55600000000000005</v>
      </c>
      <c r="G188">
        <v>0.19600000000000001</v>
      </c>
      <c r="H188">
        <v>0.77</v>
      </c>
      <c r="I188">
        <v>0.87</v>
      </c>
      <c r="J188">
        <v>4000</v>
      </c>
      <c r="K188">
        <v>6000</v>
      </c>
      <c r="L188">
        <v>1.1299999999999999</v>
      </c>
      <c r="M188">
        <f t="shared" si="6"/>
        <v>0.28930131999999997</v>
      </c>
      <c r="N188">
        <f t="shared" si="7"/>
        <v>0.32691049159999996</v>
      </c>
      <c r="O188">
        <v>0.25</v>
      </c>
      <c r="P188">
        <v>85343889.400000006</v>
      </c>
    </row>
    <row r="189" spans="1:16" x14ac:dyDescent="0.15">
      <c r="A189" t="s">
        <v>51</v>
      </c>
      <c r="B189" t="s">
        <v>44</v>
      </c>
      <c r="C189">
        <v>2028</v>
      </c>
      <c r="D189">
        <v>66550</v>
      </c>
      <c r="E189">
        <v>199650</v>
      </c>
      <c r="F189">
        <v>0.55900000000000005</v>
      </c>
      <c r="G189">
        <v>0.19400000000000001</v>
      </c>
      <c r="H189">
        <v>0.78</v>
      </c>
      <c r="I189">
        <v>0.88</v>
      </c>
      <c r="J189">
        <v>4000</v>
      </c>
      <c r="K189">
        <v>6000</v>
      </c>
      <c r="L189">
        <v>1.1299999999999999</v>
      </c>
      <c r="M189">
        <f t="shared" si="6"/>
        <v>0.32057401199999996</v>
      </c>
      <c r="N189">
        <f t="shared" si="7"/>
        <v>0.36224863355999992</v>
      </c>
      <c r="O189">
        <v>0.25</v>
      </c>
      <c r="P189">
        <v>93767898.510000005</v>
      </c>
    </row>
    <row r="190" spans="1:16" x14ac:dyDescent="0.15">
      <c r="A190" t="s">
        <v>51</v>
      </c>
      <c r="B190" t="s">
        <v>44</v>
      </c>
      <c r="C190">
        <v>2029</v>
      </c>
      <c r="D190">
        <v>73200</v>
      </c>
      <c r="E190">
        <v>219600</v>
      </c>
      <c r="F190">
        <v>0.56200000000000006</v>
      </c>
      <c r="G190">
        <v>0.192</v>
      </c>
      <c r="H190">
        <v>0.79</v>
      </c>
      <c r="I190">
        <v>0.89</v>
      </c>
      <c r="J190">
        <v>4000</v>
      </c>
      <c r="K190">
        <v>6000</v>
      </c>
      <c r="L190">
        <v>1.1200000000000001</v>
      </c>
      <c r="M190">
        <f t="shared" si="6"/>
        <v>0.35514883200000003</v>
      </c>
      <c r="N190">
        <f t="shared" si="7"/>
        <v>0.39776669184000008</v>
      </c>
      <c r="O190">
        <v>0.25</v>
      </c>
      <c r="P190">
        <v>102993161.28</v>
      </c>
    </row>
    <row r="191" spans="1:16" x14ac:dyDescent="0.15">
      <c r="A191" t="s">
        <v>51</v>
      </c>
      <c r="B191" t="s">
        <v>44</v>
      </c>
      <c r="C191">
        <v>2030</v>
      </c>
      <c r="D191">
        <v>80500</v>
      </c>
      <c r="E191">
        <v>241500</v>
      </c>
      <c r="F191">
        <v>0.56499999999999995</v>
      </c>
      <c r="G191">
        <v>0.19</v>
      </c>
      <c r="H191">
        <v>0.8</v>
      </c>
      <c r="I191">
        <v>0.9</v>
      </c>
      <c r="J191">
        <v>4000</v>
      </c>
      <c r="K191">
        <v>6000</v>
      </c>
      <c r="L191">
        <v>1.1100000000000001</v>
      </c>
      <c r="M191">
        <f t="shared" si="6"/>
        <v>0.39332300000000003</v>
      </c>
      <c r="N191">
        <f t="shared" si="7"/>
        <v>0.43658853000000009</v>
      </c>
      <c r="O191">
        <v>0.25</v>
      </c>
      <c r="P191">
        <v>113080362.5</v>
      </c>
    </row>
    <row r="192" spans="1:16" hidden="1" x14ac:dyDescent="0.15">
      <c r="A192" t="s">
        <v>51</v>
      </c>
      <c r="B192" t="s">
        <v>45</v>
      </c>
      <c r="C192">
        <v>2025</v>
      </c>
      <c r="D192">
        <v>45000</v>
      </c>
      <c r="E192">
        <v>150000</v>
      </c>
      <c r="F192">
        <v>0.55000000000000004</v>
      </c>
      <c r="G192">
        <v>0.2</v>
      </c>
      <c r="H192">
        <v>0.85</v>
      </c>
      <c r="I192">
        <v>0.75</v>
      </c>
      <c r="J192">
        <v>6000</v>
      </c>
      <c r="K192">
        <v>7000</v>
      </c>
      <c r="L192">
        <v>1.2</v>
      </c>
      <c r="M192">
        <f t="shared" si="6"/>
        <v>0.283725</v>
      </c>
      <c r="N192">
        <f t="shared" si="7"/>
        <v>0.34046999999999999</v>
      </c>
      <c r="O192">
        <v>5.0000000000000001E-3</v>
      </c>
      <c r="P192">
        <v>1702350</v>
      </c>
    </row>
    <row r="193" spans="1:16" hidden="1" x14ac:dyDescent="0.15">
      <c r="A193" t="s">
        <v>51</v>
      </c>
      <c r="B193" t="s">
        <v>45</v>
      </c>
      <c r="C193">
        <v>2026</v>
      </c>
      <c r="D193">
        <v>49500</v>
      </c>
      <c r="E193">
        <v>165000</v>
      </c>
      <c r="F193">
        <v>0.5585</v>
      </c>
      <c r="G193">
        <v>0.20200000000000001</v>
      </c>
      <c r="H193">
        <v>0.86</v>
      </c>
      <c r="I193">
        <v>0.76</v>
      </c>
      <c r="J193">
        <v>6000</v>
      </c>
      <c r="K193">
        <v>7000</v>
      </c>
      <c r="L193">
        <v>1.19</v>
      </c>
      <c r="M193">
        <f t="shared" si="6"/>
        <v>0.31996767000000004</v>
      </c>
      <c r="N193">
        <f t="shared" si="7"/>
        <v>0.38076152730000001</v>
      </c>
      <c r="O193">
        <v>5.0000000000000001E-3</v>
      </c>
      <c r="P193">
        <v>1903807.6365</v>
      </c>
    </row>
    <row r="194" spans="1:16" hidden="1" x14ac:dyDescent="0.15">
      <c r="A194" t="s">
        <v>51</v>
      </c>
      <c r="B194" t="s">
        <v>45</v>
      </c>
      <c r="C194">
        <v>2027</v>
      </c>
      <c r="D194">
        <v>54450</v>
      </c>
      <c r="E194">
        <v>181500</v>
      </c>
      <c r="F194">
        <v>0.56710000000000005</v>
      </c>
      <c r="G194">
        <v>0.20399999999999999</v>
      </c>
      <c r="H194">
        <v>0.87</v>
      </c>
      <c r="I194">
        <v>0.77</v>
      </c>
      <c r="J194">
        <v>6000</v>
      </c>
      <c r="K194">
        <v>7000</v>
      </c>
      <c r="L194">
        <v>1.18</v>
      </c>
      <c r="M194">
        <f t="shared" si="6"/>
        <v>0.36075640590000002</v>
      </c>
      <c r="N194">
        <f t="shared" si="7"/>
        <v>0.42569255896199998</v>
      </c>
      <c r="O194">
        <v>5.0000000000000001E-3</v>
      </c>
      <c r="P194">
        <v>2128462.7948099999</v>
      </c>
    </row>
    <row r="195" spans="1:16" hidden="1" x14ac:dyDescent="0.15">
      <c r="A195" t="s">
        <v>51</v>
      </c>
      <c r="B195" t="s">
        <v>45</v>
      </c>
      <c r="C195">
        <v>2028</v>
      </c>
      <c r="D195">
        <v>59900</v>
      </c>
      <c r="E195">
        <v>199500</v>
      </c>
      <c r="F195">
        <v>0.57579999999999998</v>
      </c>
      <c r="G195">
        <v>0.20799999999999999</v>
      </c>
      <c r="H195">
        <v>0.88</v>
      </c>
      <c r="I195">
        <v>0.78</v>
      </c>
      <c r="J195">
        <v>6000</v>
      </c>
      <c r="K195">
        <v>7000</v>
      </c>
      <c r="L195">
        <v>1.17</v>
      </c>
      <c r="M195">
        <f t="shared" ref="M195:M258" si="8">N195/L195</f>
        <v>0.40867757760000001</v>
      </c>
      <c r="N195">
        <f t="shared" si="7"/>
        <v>0.478152765792</v>
      </c>
      <c r="O195">
        <v>5.0000000000000001E-3</v>
      </c>
      <c r="P195">
        <v>2390763.8289600001</v>
      </c>
    </row>
    <row r="196" spans="1:16" hidden="1" x14ac:dyDescent="0.15">
      <c r="A196" t="s">
        <v>51</v>
      </c>
      <c r="B196" t="s">
        <v>45</v>
      </c>
      <c r="C196">
        <v>2029</v>
      </c>
      <c r="D196">
        <v>65890</v>
      </c>
      <c r="E196">
        <v>219450</v>
      </c>
      <c r="F196">
        <v>0.58450000000000002</v>
      </c>
      <c r="G196">
        <v>0.21199999999999999</v>
      </c>
      <c r="H196">
        <v>0.89</v>
      </c>
      <c r="I196">
        <v>0.79</v>
      </c>
      <c r="J196">
        <v>6000</v>
      </c>
      <c r="K196">
        <v>7000</v>
      </c>
      <c r="L196">
        <v>1.1599999999999999</v>
      </c>
      <c r="M196">
        <f t="shared" si="8"/>
        <v>0.46293224670000011</v>
      </c>
      <c r="N196">
        <f t="shared" si="7"/>
        <v>0.5370014061720001</v>
      </c>
      <c r="O196">
        <v>5.0000000000000001E-3</v>
      </c>
      <c r="P196">
        <v>2685007.0308599998</v>
      </c>
    </row>
    <row r="197" spans="1:16" hidden="1" x14ac:dyDescent="0.15">
      <c r="A197" t="s">
        <v>51</v>
      </c>
      <c r="B197" t="s">
        <v>45</v>
      </c>
      <c r="C197">
        <v>2030</v>
      </c>
      <c r="D197">
        <v>72480</v>
      </c>
      <c r="E197">
        <v>241395</v>
      </c>
      <c r="F197">
        <v>0.59330000000000005</v>
      </c>
      <c r="G197">
        <v>0.216</v>
      </c>
      <c r="H197">
        <v>0.9</v>
      </c>
      <c r="I197">
        <v>0.8</v>
      </c>
      <c r="J197">
        <v>6000</v>
      </c>
      <c r="K197">
        <v>7000</v>
      </c>
      <c r="L197">
        <v>1.1499999999999999</v>
      </c>
      <c r="M197">
        <f t="shared" si="8"/>
        <v>0.5242042656</v>
      </c>
      <c r="N197">
        <f t="shared" si="7"/>
        <v>0.60283490543999996</v>
      </c>
      <c r="O197">
        <v>5.0000000000000001E-3</v>
      </c>
      <c r="P197">
        <v>3014174.5271999999</v>
      </c>
    </row>
    <row r="198" spans="1:16" x14ac:dyDescent="0.15">
      <c r="A198" t="s">
        <v>51</v>
      </c>
      <c r="B198" t="s">
        <v>64</v>
      </c>
      <c r="C198">
        <v>2025</v>
      </c>
      <c r="D198">
        <v>50000</v>
      </c>
      <c r="E198">
        <v>150000</v>
      </c>
      <c r="F198">
        <v>0.55000000000000004</v>
      </c>
      <c r="G198">
        <v>0.2</v>
      </c>
      <c r="H198">
        <v>0.75</v>
      </c>
      <c r="I198">
        <v>0.85</v>
      </c>
      <c r="J198">
        <v>6000</v>
      </c>
      <c r="K198">
        <v>7000</v>
      </c>
      <c r="L198">
        <v>1.2</v>
      </c>
      <c r="M198">
        <f t="shared" si="8"/>
        <v>0.30225000000000002</v>
      </c>
      <c r="N198">
        <f t="shared" si="7"/>
        <v>0.36270000000000002</v>
      </c>
      <c r="O198">
        <v>0.2</v>
      </c>
      <c r="P198">
        <v>72540000</v>
      </c>
    </row>
    <row r="199" spans="1:16" x14ac:dyDescent="0.15">
      <c r="A199" t="s">
        <v>51</v>
      </c>
      <c r="B199" t="s">
        <v>64</v>
      </c>
      <c r="C199">
        <v>2026</v>
      </c>
      <c r="D199">
        <v>55000</v>
      </c>
      <c r="E199">
        <v>165000</v>
      </c>
      <c r="F199">
        <v>0.54</v>
      </c>
      <c r="G199">
        <v>0.19</v>
      </c>
      <c r="H199">
        <v>0.76</v>
      </c>
      <c r="I199">
        <v>0.86</v>
      </c>
      <c r="J199">
        <v>6000</v>
      </c>
      <c r="K199">
        <v>7000</v>
      </c>
      <c r="L199">
        <v>1.19</v>
      </c>
      <c r="M199">
        <f t="shared" si="8"/>
        <v>0.32415900000000003</v>
      </c>
      <c r="N199">
        <f t="shared" si="7"/>
        <v>0.38574921000000001</v>
      </c>
      <c r="O199">
        <v>0.2</v>
      </c>
      <c r="P199">
        <v>77149842</v>
      </c>
    </row>
    <row r="200" spans="1:16" x14ac:dyDescent="0.15">
      <c r="A200" t="s">
        <v>51</v>
      </c>
      <c r="B200" t="s">
        <v>64</v>
      </c>
      <c r="C200">
        <v>2027</v>
      </c>
      <c r="D200">
        <v>60500</v>
      </c>
      <c r="E200">
        <v>181500</v>
      </c>
      <c r="F200">
        <v>0.53</v>
      </c>
      <c r="G200">
        <v>0.18</v>
      </c>
      <c r="H200">
        <v>0.77</v>
      </c>
      <c r="I200">
        <v>0.87</v>
      </c>
      <c r="J200">
        <v>6000</v>
      </c>
      <c r="K200">
        <v>7000</v>
      </c>
      <c r="L200">
        <v>1.18</v>
      </c>
      <c r="M200">
        <f t="shared" si="8"/>
        <v>0.34710060000000004</v>
      </c>
      <c r="N200">
        <f t="shared" si="7"/>
        <v>0.40957870800000001</v>
      </c>
      <c r="O200">
        <v>0.2</v>
      </c>
      <c r="P200">
        <v>81915741.599999994</v>
      </c>
    </row>
    <row r="201" spans="1:16" x14ac:dyDescent="0.15">
      <c r="A201" t="s">
        <v>51</v>
      </c>
      <c r="B201" t="s">
        <v>64</v>
      </c>
      <c r="C201">
        <v>2028</v>
      </c>
      <c r="D201">
        <v>66550</v>
      </c>
      <c r="E201">
        <v>199650</v>
      </c>
      <c r="F201">
        <v>0.52</v>
      </c>
      <c r="G201">
        <v>0.17</v>
      </c>
      <c r="H201">
        <v>0.78</v>
      </c>
      <c r="I201">
        <v>0.88</v>
      </c>
      <c r="J201">
        <v>6000</v>
      </c>
      <c r="K201">
        <v>7000</v>
      </c>
      <c r="L201">
        <v>1.17</v>
      </c>
      <c r="M201">
        <f t="shared" si="8"/>
        <v>0.37102956000000004</v>
      </c>
      <c r="N201">
        <f t="shared" si="7"/>
        <v>0.4341045852</v>
      </c>
      <c r="O201">
        <v>0.2</v>
      </c>
      <c r="P201">
        <v>86820917.040000007</v>
      </c>
    </row>
    <row r="202" spans="1:16" x14ac:dyDescent="0.15">
      <c r="A202" t="s">
        <v>51</v>
      </c>
      <c r="B202" t="s">
        <v>64</v>
      </c>
      <c r="C202">
        <v>2029</v>
      </c>
      <c r="D202">
        <v>73205</v>
      </c>
      <c r="E202">
        <v>219615</v>
      </c>
      <c r="F202">
        <v>0.51</v>
      </c>
      <c r="G202">
        <v>0.16</v>
      </c>
      <c r="H202">
        <v>0.79</v>
      </c>
      <c r="I202">
        <v>0.89</v>
      </c>
      <c r="J202">
        <v>6000</v>
      </c>
      <c r="K202">
        <v>7000</v>
      </c>
      <c r="L202">
        <v>1.1599999999999999</v>
      </c>
      <c r="M202">
        <f t="shared" si="8"/>
        <v>0.39587799900000009</v>
      </c>
      <c r="N202">
        <f t="shared" si="7"/>
        <v>0.45921847884000006</v>
      </c>
      <c r="O202">
        <v>0.2</v>
      </c>
      <c r="P202">
        <v>91843695.768000007</v>
      </c>
    </row>
    <row r="203" spans="1:16" x14ac:dyDescent="0.15">
      <c r="A203" t="s">
        <v>51</v>
      </c>
      <c r="B203" t="s">
        <v>64</v>
      </c>
      <c r="C203">
        <v>2030</v>
      </c>
      <c r="D203">
        <v>80525</v>
      </c>
      <c r="E203">
        <v>241576</v>
      </c>
      <c r="F203">
        <v>0.5</v>
      </c>
      <c r="G203">
        <v>0.15</v>
      </c>
      <c r="H203">
        <v>0.8</v>
      </c>
      <c r="I203">
        <v>0.9</v>
      </c>
      <c r="J203">
        <v>6000</v>
      </c>
      <c r="K203">
        <v>7000</v>
      </c>
      <c r="L203">
        <v>1.1499999999999999</v>
      </c>
      <c r="M203">
        <f t="shared" si="8"/>
        <v>0.42154931999999995</v>
      </c>
      <c r="N203">
        <f t="shared" si="7"/>
        <v>0.48478171799999992</v>
      </c>
      <c r="O203">
        <v>0.2</v>
      </c>
      <c r="P203">
        <v>96956343.599999994</v>
      </c>
    </row>
    <row r="204" spans="1:16" hidden="1" x14ac:dyDescent="0.15">
      <c r="A204" t="s">
        <v>51</v>
      </c>
      <c r="B204" t="s">
        <v>46</v>
      </c>
      <c r="C204">
        <v>2025</v>
      </c>
      <c r="D204">
        <v>40000</v>
      </c>
      <c r="E204">
        <v>130000</v>
      </c>
      <c r="F204">
        <v>0.55000000000000004</v>
      </c>
      <c r="G204">
        <v>0.2</v>
      </c>
      <c r="H204">
        <v>0.7</v>
      </c>
      <c r="I204">
        <v>0.85</v>
      </c>
      <c r="J204">
        <v>4000</v>
      </c>
      <c r="K204">
        <v>6000</v>
      </c>
      <c r="L204">
        <v>1.2</v>
      </c>
      <c r="M204">
        <f t="shared" si="8"/>
        <v>0.19420000000000001</v>
      </c>
      <c r="N204">
        <f t="shared" si="7"/>
        <v>0.23304</v>
      </c>
      <c r="O204">
        <v>0.1</v>
      </c>
      <c r="P204">
        <v>28260000</v>
      </c>
    </row>
    <row r="205" spans="1:16" hidden="1" x14ac:dyDescent="0.15">
      <c r="A205" t="s">
        <v>51</v>
      </c>
      <c r="B205" t="s">
        <v>46</v>
      </c>
      <c r="C205">
        <v>2026</v>
      </c>
      <c r="D205">
        <v>55000</v>
      </c>
      <c r="E205">
        <v>145000</v>
      </c>
      <c r="F205">
        <v>0.55300000000000005</v>
      </c>
      <c r="G205">
        <v>0.19800000000000001</v>
      </c>
      <c r="H205">
        <v>0.76</v>
      </c>
      <c r="I205">
        <v>0.86</v>
      </c>
      <c r="J205">
        <v>4000</v>
      </c>
      <c r="K205">
        <v>6000</v>
      </c>
      <c r="L205">
        <v>1.19</v>
      </c>
      <c r="M205">
        <f t="shared" si="8"/>
        <v>0.24060519999999999</v>
      </c>
      <c r="N205">
        <f t="shared" si="7"/>
        <v>0.28632018799999998</v>
      </c>
      <c r="O205">
        <v>0.1</v>
      </c>
      <c r="P205">
        <v>31063617.199999999</v>
      </c>
    </row>
    <row r="206" spans="1:16" hidden="1" x14ac:dyDescent="0.15">
      <c r="A206" t="s">
        <v>51</v>
      </c>
      <c r="B206" t="s">
        <v>46</v>
      </c>
      <c r="C206">
        <v>2027</v>
      </c>
      <c r="D206">
        <v>60500</v>
      </c>
      <c r="E206">
        <v>151500</v>
      </c>
      <c r="F206">
        <v>0.55600000000000005</v>
      </c>
      <c r="G206">
        <v>0.19600000000000001</v>
      </c>
      <c r="H206">
        <v>0.77</v>
      </c>
      <c r="I206">
        <v>0.87</v>
      </c>
      <c r="J206">
        <v>4000</v>
      </c>
      <c r="K206">
        <v>6000</v>
      </c>
      <c r="L206">
        <v>1.18</v>
      </c>
      <c r="M206">
        <f t="shared" si="8"/>
        <v>0.25860771999999999</v>
      </c>
      <c r="N206">
        <f t="shared" si="7"/>
        <v>0.30515710959999998</v>
      </c>
      <c r="O206">
        <v>0.1</v>
      </c>
      <c r="P206">
        <v>34137555.759999998</v>
      </c>
    </row>
    <row r="207" spans="1:16" hidden="1" x14ac:dyDescent="0.15">
      <c r="A207" t="s">
        <v>51</v>
      </c>
      <c r="B207" t="s">
        <v>46</v>
      </c>
      <c r="C207">
        <v>2028</v>
      </c>
      <c r="D207">
        <v>66550</v>
      </c>
      <c r="E207">
        <v>169650</v>
      </c>
      <c r="F207">
        <v>0.55900000000000005</v>
      </c>
      <c r="G207">
        <v>0.19400000000000001</v>
      </c>
      <c r="H207">
        <v>0.78</v>
      </c>
      <c r="I207">
        <v>0.88</v>
      </c>
      <c r="J207">
        <v>4000</v>
      </c>
      <c r="K207">
        <v>6000</v>
      </c>
      <c r="L207">
        <v>1.17</v>
      </c>
      <c r="M207">
        <f t="shared" si="8"/>
        <v>0.289844412</v>
      </c>
      <c r="N207">
        <f t="shared" si="7"/>
        <v>0.33911796203999994</v>
      </c>
      <c r="O207">
        <v>0.1</v>
      </c>
      <c r="P207">
        <v>37507159.403999999</v>
      </c>
    </row>
    <row r="208" spans="1:16" hidden="1" x14ac:dyDescent="0.15">
      <c r="A208" t="s">
        <v>51</v>
      </c>
      <c r="B208" t="s">
        <v>46</v>
      </c>
      <c r="C208">
        <v>2029</v>
      </c>
      <c r="D208">
        <v>73205</v>
      </c>
      <c r="E208">
        <v>179615</v>
      </c>
      <c r="F208">
        <v>0.56200000000000006</v>
      </c>
      <c r="G208">
        <v>0.192</v>
      </c>
      <c r="H208">
        <v>0.79</v>
      </c>
      <c r="I208">
        <v>0.89</v>
      </c>
      <c r="J208">
        <v>4000</v>
      </c>
      <c r="K208">
        <v>6000</v>
      </c>
      <c r="L208">
        <v>1.1599999999999999</v>
      </c>
      <c r="M208">
        <f t="shared" si="8"/>
        <v>0.31416189080000007</v>
      </c>
      <c r="N208">
        <f t="shared" si="7"/>
        <v>0.36442779332800007</v>
      </c>
      <c r="O208">
        <v>0.1</v>
      </c>
      <c r="P208">
        <v>41200078.532800011</v>
      </c>
    </row>
    <row r="209" spans="1:16" hidden="1" x14ac:dyDescent="0.15">
      <c r="A209" t="s">
        <v>51</v>
      </c>
      <c r="B209" t="s">
        <v>46</v>
      </c>
      <c r="C209">
        <v>2030</v>
      </c>
      <c r="D209">
        <v>80525</v>
      </c>
      <c r="E209">
        <v>181576</v>
      </c>
      <c r="F209">
        <v>0.56499999999999995</v>
      </c>
      <c r="G209">
        <v>0.19</v>
      </c>
      <c r="H209">
        <v>0.8</v>
      </c>
      <c r="I209">
        <v>0.9</v>
      </c>
      <c r="J209">
        <v>4000</v>
      </c>
      <c r="K209">
        <v>6000</v>
      </c>
      <c r="L209">
        <v>1.1499999999999999</v>
      </c>
      <c r="M209">
        <f t="shared" si="8"/>
        <v>0.33188617599999998</v>
      </c>
      <c r="N209">
        <f t="shared" si="7"/>
        <v>0.38166910239999996</v>
      </c>
      <c r="O209">
        <v>0.1</v>
      </c>
      <c r="P209">
        <v>45246310.240000002</v>
      </c>
    </row>
    <row r="210" spans="1:16" hidden="1" x14ac:dyDescent="0.15">
      <c r="A210" t="s">
        <v>51</v>
      </c>
      <c r="B210" t="s">
        <v>47</v>
      </c>
      <c r="C210">
        <v>2025</v>
      </c>
      <c r="D210">
        <v>50000</v>
      </c>
      <c r="E210">
        <v>150000</v>
      </c>
      <c r="F210">
        <v>0.55000000000000004</v>
      </c>
      <c r="G210">
        <v>0.2</v>
      </c>
      <c r="H210">
        <v>0.75</v>
      </c>
      <c r="I210">
        <v>0.85</v>
      </c>
      <c r="J210">
        <v>6000</v>
      </c>
      <c r="K210">
        <v>7000</v>
      </c>
      <c r="L210">
        <v>1.3</v>
      </c>
      <c r="M210">
        <f t="shared" si="8"/>
        <v>0.30225000000000002</v>
      </c>
      <c r="N210">
        <f t="shared" si="7"/>
        <v>0.39292500000000002</v>
      </c>
      <c r="O210">
        <v>4.0000000000000002E-4</v>
      </c>
      <c r="P210">
        <v>145080</v>
      </c>
    </row>
    <row r="211" spans="1:16" hidden="1" x14ac:dyDescent="0.15">
      <c r="A211" t="s">
        <v>51</v>
      </c>
      <c r="B211" t="s">
        <v>47</v>
      </c>
      <c r="C211">
        <v>2026</v>
      </c>
      <c r="D211">
        <v>55000</v>
      </c>
      <c r="E211">
        <v>165000</v>
      </c>
      <c r="F211">
        <v>0.56000000000000005</v>
      </c>
      <c r="G211">
        <v>0.2</v>
      </c>
      <c r="H211">
        <v>0.76</v>
      </c>
      <c r="I211">
        <v>0.86</v>
      </c>
      <c r="J211">
        <v>6000</v>
      </c>
      <c r="K211">
        <v>7000</v>
      </c>
      <c r="L211">
        <v>1.29</v>
      </c>
      <c r="M211">
        <f t="shared" si="8"/>
        <v>0.33910799999999997</v>
      </c>
      <c r="N211">
        <f t="shared" si="7"/>
        <v>0.43744931999999997</v>
      </c>
      <c r="O211">
        <v>4.0000000000000002E-4</v>
      </c>
      <c r="P211">
        <v>161415.408</v>
      </c>
    </row>
    <row r="212" spans="1:16" hidden="1" x14ac:dyDescent="0.15">
      <c r="A212" t="s">
        <v>51</v>
      </c>
      <c r="B212" t="s">
        <v>47</v>
      </c>
      <c r="C212">
        <v>2027</v>
      </c>
      <c r="D212">
        <v>60500</v>
      </c>
      <c r="E212">
        <v>181500</v>
      </c>
      <c r="F212">
        <v>0.56999999999999995</v>
      </c>
      <c r="G212">
        <v>0.2</v>
      </c>
      <c r="H212">
        <v>0.77</v>
      </c>
      <c r="I212">
        <v>0.87</v>
      </c>
      <c r="J212">
        <v>6000</v>
      </c>
      <c r="K212">
        <v>7000</v>
      </c>
      <c r="L212">
        <v>1.28</v>
      </c>
      <c r="M212">
        <f t="shared" si="8"/>
        <v>0.3803877</v>
      </c>
      <c r="N212">
        <f t="shared" si="7"/>
        <v>0.48689625600000003</v>
      </c>
      <c r="O212">
        <v>4.0000000000000002E-4</v>
      </c>
      <c r="P212">
        <v>179542.9944</v>
      </c>
    </row>
    <row r="213" spans="1:16" hidden="1" x14ac:dyDescent="0.15">
      <c r="A213" t="s">
        <v>51</v>
      </c>
      <c r="B213" t="s">
        <v>47</v>
      </c>
      <c r="C213">
        <v>2028</v>
      </c>
      <c r="D213">
        <v>66550</v>
      </c>
      <c r="E213">
        <v>199650</v>
      </c>
      <c r="F213">
        <v>0.57999999999999996</v>
      </c>
      <c r="G213">
        <v>0.2</v>
      </c>
      <c r="H213">
        <v>0.78</v>
      </c>
      <c r="I213">
        <v>0.88</v>
      </c>
      <c r="J213">
        <v>6000</v>
      </c>
      <c r="K213">
        <v>7000</v>
      </c>
      <c r="L213">
        <v>1.27</v>
      </c>
      <c r="M213">
        <f t="shared" si="8"/>
        <v>0.42661211999999998</v>
      </c>
      <c r="N213">
        <f t="shared" si="7"/>
        <v>0.54179739240000002</v>
      </c>
      <c r="O213">
        <v>4.0000000000000002E-4</v>
      </c>
      <c r="P213">
        <v>199654.47216</v>
      </c>
    </row>
    <row r="214" spans="1:16" hidden="1" x14ac:dyDescent="0.15">
      <c r="A214" t="s">
        <v>51</v>
      </c>
      <c r="B214" t="s">
        <v>47</v>
      </c>
      <c r="C214">
        <v>2029</v>
      </c>
      <c r="D214">
        <v>73200</v>
      </c>
      <c r="E214">
        <v>219600</v>
      </c>
      <c r="F214">
        <v>0.59</v>
      </c>
      <c r="G214">
        <v>0.2</v>
      </c>
      <c r="H214">
        <v>0.79</v>
      </c>
      <c r="I214">
        <v>0.89</v>
      </c>
      <c r="J214">
        <v>6000</v>
      </c>
      <c r="K214">
        <v>7000</v>
      </c>
      <c r="L214">
        <v>1.26</v>
      </c>
      <c r="M214">
        <f t="shared" si="8"/>
        <v>0.47833271999999999</v>
      </c>
      <c r="N214">
        <f t="shared" si="7"/>
        <v>0.60269922720000002</v>
      </c>
      <c r="O214">
        <v>4.0000000000000002E-4</v>
      </c>
      <c r="P214">
        <v>221946.38208000001</v>
      </c>
    </row>
    <row r="215" spans="1:16" hidden="1" x14ac:dyDescent="0.15">
      <c r="A215" t="s">
        <v>51</v>
      </c>
      <c r="B215" t="s">
        <v>47</v>
      </c>
      <c r="C215">
        <v>2030</v>
      </c>
      <c r="D215">
        <v>80500</v>
      </c>
      <c r="E215">
        <v>241500</v>
      </c>
      <c r="F215">
        <v>0.6</v>
      </c>
      <c r="G215">
        <v>0.2</v>
      </c>
      <c r="H215">
        <v>0.8</v>
      </c>
      <c r="I215">
        <v>0.9</v>
      </c>
      <c r="J215">
        <v>6000</v>
      </c>
      <c r="K215">
        <v>7000</v>
      </c>
      <c r="L215">
        <v>1.25</v>
      </c>
      <c r="M215">
        <f t="shared" si="8"/>
        <v>0.53613</v>
      </c>
      <c r="N215">
        <f t="shared" si="7"/>
        <v>0.67016249999999999</v>
      </c>
      <c r="O215">
        <v>4.0000000000000002E-4</v>
      </c>
      <c r="P215">
        <v>246619.8</v>
      </c>
    </row>
    <row r="216" spans="1:16" x14ac:dyDescent="0.15">
      <c r="A216" t="s">
        <v>51</v>
      </c>
      <c r="B216" t="s">
        <v>48</v>
      </c>
      <c r="C216">
        <v>2025</v>
      </c>
      <c r="D216">
        <v>50000</v>
      </c>
      <c r="E216">
        <v>150000</v>
      </c>
      <c r="F216">
        <v>0.55000000000000004</v>
      </c>
      <c r="G216">
        <v>0.2</v>
      </c>
      <c r="H216">
        <v>0.75</v>
      </c>
      <c r="I216">
        <v>0.85</v>
      </c>
      <c r="J216">
        <v>6000</v>
      </c>
      <c r="K216">
        <v>7000</v>
      </c>
      <c r="L216">
        <v>1.2</v>
      </c>
      <c r="M216">
        <f t="shared" si="8"/>
        <v>0.30225000000000002</v>
      </c>
      <c r="N216">
        <f t="shared" si="7"/>
        <v>0.36270000000000002</v>
      </c>
      <c r="O216">
        <v>0.4</v>
      </c>
      <c r="P216">
        <v>145080000</v>
      </c>
    </row>
    <row r="217" spans="1:16" x14ac:dyDescent="0.15">
      <c r="A217" t="s">
        <v>51</v>
      </c>
      <c r="B217" t="s">
        <v>48</v>
      </c>
      <c r="C217">
        <v>2026</v>
      </c>
      <c r="D217">
        <v>55000</v>
      </c>
      <c r="E217">
        <v>165000</v>
      </c>
      <c r="F217">
        <v>0.56000000000000005</v>
      </c>
      <c r="G217">
        <v>0.20499999999999999</v>
      </c>
      <c r="H217">
        <v>0.76</v>
      </c>
      <c r="I217">
        <v>0.86</v>
      </c>
      <c r="J217">
        <v>6000</v>
      </c>
      <c r="K217">
        <v>7000</v>
      </c>
      <c r="L217">
        <v>1.19</v>
      </c>
      <c r="M217">
        <f t="shared" si="8"/>
        <v>0.34407450000000001</v>
      </c>
      <c r="N217">
        <f t="shared" si="7"/>
        <v>0.40944865499999999</v>
      </c>
      <c r="O217">
        <v>0.4</v>
      </c>
      <c r="P217">
        <v>163779462</v>
      </c>
    </row>
    <row r="218" spans="1:16" x14ac:dyDescent="0.15">
      <c r="A218" t="s">
        <v>51</v>
      </c>
      <c r="B218" t="s">
        <v>48</v>
      </c>
      <c r="C218">
        <v>2027</v>
      </c>
      <c r="D218">
        <v>60500</v>
      </c>
      <c r="E218">
        <v>181500</v>
      </c>
      <c r="F218">
        <v>0.56999999999999995</v>
      </c>
      <c r="G218">
        <v>0.21</v>
      </c>
      <c r="H218">
        <v>0.77</v>
      </c>
      <c r="I218">
        <v>0.87</v>
      </c>
      <c r="J218">
        <v>6000</v>
      </c>
      <c r="K218">
        <v>7000</v>
      </c>
      <c r="L218">
        <v>1.18</v>
      </c>
      <c r="M218">
        <f t="shared" si="8"/>
        <v>0.39144105000000001</v>
      </c>
      <c r="N218">
        <f t="shared" si="7"/>
        <v>0.461900439</v>
      </c>
      <c r="O218">
        <v>0.4</v>
      </c>
      <c r="P218">
        <v>184760175.59999999</v>
      </c>
    </row>
    <row r="219" spans="1:16" x14ac:dyDescent="0.15">
      <c r="A219" t="s">
        <v>51</v>
      </c>
      <c r="B219" t="s">
        <v>48</v>
      </c>
      <c r="C219">
        <v>2028</v>
      </c>
      <c r="D219">
        <v>66500</v>
      </c>
      <c r="E219">
        <v>199500</v>
      </c>
      <c r="F219">
        <v>0.57999999999999996</v>
      </c>
      <c r="G219">
        <v>0.215</v>
      </c>
      <c r="H219">
        <v>0.78</v>
      </c>
      <c r="I219">
        <v>0.88</v>
      </c>
      <c r="J219">
        <v>6000</v>
      </c>
      <c r="K219">
        <v>7000</v>
      </c>
      <c r="L219">
        <v>1.17</v>
      </c>
      <c r="M219">
        <f t="shared" si="8"/>
        <v>0.44472539999999994</v>
      </c>
      <c r="N219">
        <f t="shared" si="7"/>
        <v>0.52032871799999991</v>
      </c>
      <c r="O219">
        <v>0.4</v>
      </c>
      <c r="P219">
        <v>208131487.19999999</v>
      </c>
    </row>
    <row r="220" spans="1:16" x14ac:dyDescent="0.15">
      <c r="A220" t="s">
        <v>51</v>
      </c>
      <c r="B220" t="s">
        <v>48</v>
      </c>
      <c r="C220">
        <v>2029</v>
      </c>
      <c r="D220">
        <v>73000</v>
      </c>
      <c r="E220">
        <v>219500</v>
      </c>
      <c r="F220">
        <v>0.59</v>
      </c>
      <c r="G220">
        <v>0.22</v>
      </c>
      <c r="H220">
        <v>0.79</v>
      </c>
      <c r="I220">
        <v>0.89</v>
      </c>
      <c r="J220">
        <v>6000</v>
      </c>
      <c r="K220">
        <v>7000</v>
      </c>
      <c r="L220">
        <v>1.1599999999999999</v>
      </c>
      <c r="M220">
        <f t="shared" si="8"/>
        <v>0.50499850000000002</v>
      </c>
      <c r="N220">
        <f t="shared" si="7"/>
        <v>0.58579826000000002</v>
      </c>
      <c r="O220">
        <v>0.4</v>
      </c>
      <c r="P220">
        <v>234319304</v>
      </c>
    </row>
    <row r="221" spans="1:16" x14ac:dyDescent="0.15">
      <c r="A221" t="s">
        <v>51</v>
      </c>
      <c r="B221" t="s">
        <v>48</v>
      </c>
      <c r="C221">
        <v>2030</v>
      </c>
      <c r="D221">
        <v>80000</v>
      </c>
      <c r="E221">
        <v>240000</v>
      </c>
      <c r="F221">
        <v>0.6</v>
      </c>
      <c r="G221">
        <v>0.22500000000000001</v>
      </c>
      <c r="H221">
        <v>0.8</v>
      </c>
      <c r="I221">
        <v>0.9</v>
      </c>
      <c r="J221">
        <v>6000</v>
      </c>
      <c r="K221">
        <v>7000</v>
      </c>
      <c r="L221">
        <v>1.1499999999999999</v>
      </c>
      <c r="M221">
        <f t="shared" si="8"/>
        <v>0.57060000000000011</v>
      </c>
      <c r="N221">
        <f t="shared" si="7"/>
        <v>0.65619000000000005</v>
      </c>
      <c r="O221">
        <v>0.4</v>
      </c>
      <c r="P221">
        <v>262476000</v>
      </c>
    </row>
    <row r="222" spans="1:16" x14ac:dyDescent="0.15">
      <c r="A222" t="s">
        <v>51</v>
      </c>
      <c r="B222" t="s">
        <v>49</v>
      </c>
      <c r="C222">
        <v>2025</v>
      </c>
      <c r="D222">
        <v>50000</v>
      </c>
      <c r="E222">
        <v>150000</v>
      </c>
      <c r="F222">
        <v>0.55000000000000004</v>
      </c>
      <c r="G222">
        <v>0.2</v>
      </c>
      <c r="H222">
        <v>0.75</v>
      </c>
      <c r="I222">
        <v>0.85</v>
      </c>
      <c r="J222">
        <v>4000</v>
      </c>
      <c r="K222">
        <v>6000</v>
      </c>
      <c r="L222">
        <v>1.2</v>
      </c>
      <c r="M222">
        <f t="shared" si="8"/>
        <v>0.23550000000000001</v>
      </c>
      <c r="N222">
        <f t="shared" si="7"/>
        <v>0.28260000000000002</v>
      </c>
      <c r="O222">
        <v>4.0000000000000001E-3</v>
      </c>
      <c r="P222">
        <v>1130400</v>
      </c>
    </row>
    <row r="223" spans="1:16" x14ac:dyDescent="0.15">
      <c r="A223" t="s">
        <v>51</v>
      </c>
      <c r="B223" t="s">
        <v>49</v>
      </c>
      <c r="C223">
        <v>2026</v>
      </c>
      <c r="D223">
        <v>55000</v>
      </c>
      <c r="E223">
        <v>165000</v>
      </c>
      <c r="F223">
        <v>0.56000000000000005</v>
      </c>
      <c r="G223">
        <v>0.20499999999999999</v>
      </c>
      <c r="H223">
        <v>0.76</v>
      </c>
      <c r="I223">
        <v>0.86</v>
      </c>
      <c r="J223">
        <v>4000</v>
      </c>
      <c r="K223">
        <v>6000</v>
      </c>
      <c r="L223">
        <v>1.19</v>
      </c>
      <c r="M223">
        <f t="shared" si="8"/>
        <v>0.26816899999999999</v>
      </c>
      <c r="N223">
        <f t="shared" si="7"/>
        <v>0.31912110999999999</v>
      </c>
      <c r="O223">
        <v>4.0000000000000001E-3</v>
      </c>
      <c r="P223">
        <v>1276484.44</v>
      </c>
    </row>
    <row r="224" spans="1:16" x14ac:dyDescent="0.15">
      <c r="A224" t="s">
        <v>51</v>
      </c>
      <c r="B224" t="s">
        <v>49</v>
      </c>
      <c r="C224">
        <v>2027</v>
      </c>
      <c r="D224">
        <v>60500</v>
      </c>
      <c r="E224">
        <v>181500</v>
      </c>
      <c r="F224">
        <v>0.56999999999999995</v>
      </c>
      <c r="G224">
        <v>0.21</v>
      </c>
      <c r="H224">
        <v>0.77</v>
      </c>
      <c r="I224">
        <v>0.87</v>
      </c>
      <c r="J224">
        <v>4000</v>
      </c>
      <c r="K224">
        <v>6000</v>
      </c>
      <c r="L224">
        <v>1.18</v>
      </c>
      <c r="M224">
        <f t="shared" si="8"/>
        <v>0.3051741</v>
      </c>
      <c r="N224">
        <f t="shared" si="7"/>
        <v>0.360105438</v>
      </c>
      <c r="O224">
        <v>4.0000000000000001E-3</v>
      </c>
      <c r="P224">
        <v>1440421.7520000001</v>
      </c>
    </row>
    <row r="225" spans="1:16" x14ac:dyDescent="0.15">
      <c r="A225" t="s">
        <v>51</v>
      </c>
      <c r="B225" t="s">
        <v>49</v>
      </c>
      <c r="C225">
        <v>2028</v>
      </c>
      <c r="D225">
        <v>66550</v>
      </c>
      <c r="E225">
        <v>199650</v>
      </c>
      <c r="F225">
        <v>0.57999999999999996</v>
      </c>
      <c r="G225">
        <v>0.215</v>
      </c>
      <c r="H225">
        <v>0.78</v>
      </c>
      <c r="I225">
        <v>0.88</v>
      </c>
      <c r="J225">
        <v>4000</v>
      </c>
      <c r="K225">
        <v>6000</v>
      </c>
      <c r="L225">
        <v>1.17</v>
      </c>
      <c r="M225">
        <f t="shared" si="8"/>
        <v>0.34707156000000006</v>
      </c>
      <c r="N225">
        <f t="shared" si="7"/>
        <v>0.40607372520000001</v>
      </c>
      <c r="O225">
        <v>4.0000000000000001E-3</v>
      </c>
      <c r="P225">
        <v>1624294.9007999999</v>
      </c>
    </row>
    <row r="226" spans="1:16" x14ac:dyDescent="0.15">
      <c r="A226" t="s">
        <v>51</v>
      </c>
      <c r="B226" t="s">
        <v>49</v>
      </c>
      <c r="C226">
        <v>2029</v>
      </c>
      <c r="D226">
        <v>73200</v>
      </c>
      <c r="E226">
        <v>219600</v>
      </c>
      <c r="F226">
        <v>0.59</v>
      </c>
      <c r="G226">
        <v>0.22</v>
      </c>
      <c r="H226">
        <v>0.79</v>
      </c>
      <c r="I226">
        <v>0.89</v>
      </c>
      <c r="J226">
        <v>4000</v>
      </c>
      <c r="K226">
        <v>6000</v>
      </c>
      <c r="L226">
        <v>1.1599999999999999</v>
      </c>
      <c r="M226">
        <f t="shared" si="8"/>
        <v>0.39446016</v>
      </c>
      <c r="N226">
        <f t="shared" si="7"/>
        <v>0.45757378559999995</v>
      </c>
      <c r="O226">
        <v>4.0000000000000001E-3</v>
      </c>
      <c r="P226">
        <v>1830295.1424</v>
      </c>
    </row>
    <row r="227" spans="1:16" x14ac:dyDescent="0.15">
      <c r="A227" t="s">
        <v>51</v>
      </c>
      <c r="B227" t="s">
        <v>49</v>
      </c>
      <c r="C227">
        <v>2030</v>
      </c>
      <c r="D227">
        <v>80500</v>
      </c>
      <c r="E227">
        <v>241500</v>
      </c>
      <c r="F227">
        <v>0.6</v>
      </c>
      <c r="G227">
        <v>0.22500000000000001</v>
      </c>
      <c r="H227">
        <v>0.8</v>
      </c>
      <c r="I227">
        <v>0.9</v>
      </c>
      <c r="J227">
        <v>4000</v>
      </c>
      <c r="K227">
        <v>6000</v>
      </c>
      <c r="L227">
        <v>1.1499999999999999</v>
      </c>
      <c r="M227">
        <f t="shared" si="8"/>
        <v>0.44798250000000001</v>
      </c>
      <c r="N227">
        <f t="shared" si="7"/>
        <v>0.51517987499999995</v>
      </c>
      <c r="O227">
        <v>4.0000000000000001E-3</v>
      </c>
      <c r="P227">
        <v>2060719.5</v>
      </c>
    </row>
    <row r="228" spans="1:16" x14ac:dyDescent="0.15">
      <c r="A228" t="s">
        <v>51</v>
      </c>
      <c r="B228" t="s">
        <v>50</v>
      </c>
      <c r="C228">
        <v>2025</v>
      </c>
      <c r="D228">
        <v>50000</v>
      </c>
      <c r="E228">
        <v>150000</v>
      </c>
      <c r="F228">
        <v>0.55000000000000004</v>
      </c>
      <c r="G228">
        <v>0.2</v>
      </c>
      <c r="H228">
        <v>0.75</v>
      </c>
      <c r="I228">
        <v>0.85</v>
      </c>
      <c r="J228">
        <v>6000</v>
      </c>
      <c r="K228">
        <v>7000</v>
      </c>
      <c r="L228">
        <v>1.2</v>
      </c>
      <c r="M228">
        <f t="shared" si="8"/>
        <v>0.30225000000000002</v>
      </c>
      <c r="N228">
        <f t="shared" si="7"/>
        <v>0.36270000000000002</v>
      </c>
      <c r="O228">
        <v>0.3</v>
      </c>
      <c r="P228">
        <v>108810000</v>
      </c>
    </row>
    <row r="229" spans="1:16" x14ac:dyDescent="0.15">
      <c r="A229" t="s">
        <v>51</v>
      </c>
      <c r="B229" t="s">
        <v>50</v>
      </c>
      <c r="C229">
        <v>2026</v>
      </c>
      <c r="D229">
        <v>55000</v>
      </c>
      <c r="E229">
        <v>165000</v>
      </c>
      <c r="F229">
        <v>0.56000000000000005</v>
      </c>
      <c r="G229">
        <v>0.20499999999999999</v>
      </c>
      <c r="H229">
        <v>0.76</v>
      </c>
      <c r="I229">
        <v>0.86</v>
      </c>
      <c r="J229">
        <v>6000</v>
      </c>
      <c r="K229">
        <v>7000</v>
      </c>
      <c r="L229">
        <v>1.19</v>
      </c>
      <c r="M229">
        <f t="shared" si="8"/>
        <v>0.34407450000000001</v>
      </c>
      <c r="N229">
        <f t="shared" si="7"/>
        <v>0.40944865499999999</v>
      </c>
      <c r="O229">
        <v>0.3</v>
      </c>
      <c r="P229">
        <v>122834596.5</v>
      </c>
    </row>
    <row r="230" spans="1:16" x14ac:dyDescent="0.15">
      <c r="A230" t="s">
        <v>51</v>
      </c>
      <c r="B230" t="s">
        <v>50</v>
      </c>
      <c r="C230">
        <v>2027</v>
      </c>
      <c r="D230">
        <v>60500</v>
      </c>
      <c r="E230">
        <v>181500</v>
      </c>
      <c r="F230">
        <v>0.56999999999999995</v>
      </c>
      <c r="G230">
        <v>0.21</v>
      </c>
      <c r="H230">
        <v>0.77</v>
      </c>
      <c r="I230">
        <v>0.87</v>
      </c>
      <c r="J230">
        <v>6000</v>
      </c>
      <c r="K230">
        <v>7000</v>
      </c>
      <c r="L230">
        <v>1.18</v>
      </c>
      <c r="M230">
        <f t="shared" si="8"/>
        <v>0.39144105000000001</v>
      </c>
      <c r="N230">
        <f t="shared" si="7"/>
        <v>0.461900439</v>
      </c>
      <c r="O230">
        <v>0.3</v>
      </c>
      <c r="P230">
        <v>138570131.69999999</v>
      </c>
    </row>
    <row r="231" spans="1:16" x14ac:dyDescent="0.15">
      <c r="A231" t="s">
        <v>51</v>
      </c>
      <c r="B231" t="s">
        <v>50</v>
      </c>
      <c r="C231">
        <v>2028</v>
      </c>
      <c r="D231">
        <v>66550</v>
      </c>
      <c r="E231">
        <v>199650</v>
      </c>
      <c r="F231">
        <v>0.57999999999999996</v>
      </c>
      <c r="G231">
        <v>0.215</v>
      </c>
      <c r="H231">
        <v>0.78</v>
      </c>
      <c r="I231">
        <v>0.88</v>
      </c>
      <c r="J231">
        <v>6000</v>
      </c>
      <c r="K231">
        <v>7000</v>
      </c>
      <c r="L231">
        <v>1.17</v>
      </c>
      <c r="M231">
        <f t="shared" si="8"/>
        <v>0.44505978000000002</v>
      </c>
      <c r="N231">
        <f t="shared" si="7"/>
        <v>0.52071994259999999</v>
      </c>
      <c r="O231">
        <v>0.3</v>
      </c>
      <c r="P231">
        <v>156215982.78</v>
      </c>
    </row>
    <row r="232" spans="1:16" x14ac:dyDescent="0.15">
      <c r="A232" t="s">
        <v>51</v>
      </c>
      <c r="B232" t="s">
        <v>50</v>
      </c>
      <c r="C232">
        <v>2029</v>
      </c>
      <c r="D232">
        <v>73205</v>
      </c>
      <c r="E232">
        <v>219615</v>
      </c>
      <c r="F232">
        <v>0.59</v>
      </c>
      <c r="G232">
        <v>0.22</v>
      </c>
      <c r="H232">
        <v>0.79</v>
      </c>
      <c r="I232">
        <v>0.89</v>
      </c>
      <c r="J232">
        <v>6000</v>
      </c>
      <c r="K232">
        <v>7000</v>
      </c>
      <c r="L232">
        <v>1.1599999999999999</v>
      </c>
      <c r="M232">
        <f t="shared" si="8"/>
        <v>0.50572942200000004</v>
      </c>
      <c r="N232">
        <f t="shared" si="7"/>
        <v>0.58664612951999995</v>
      </c>
      <c r="O232">
        <v>0.3</v>
      </c>
      <c r="P232">
        <v>175993838.85600001</v>
      </c>
    </row>
    <row r="233" spans="1:16" x14ac:dyDescent="0.15">
      <c r="A233" t="s">
        <v>51</v>
      </c>
      <c r="B233" t="s">
        <v>50</v>
      </c>
      <c r="C233">
        <v>2030</v>
      </c>
      <c r="D233">
        <v>80525</v>
      </c>
      <c r="E233">
        <v>241576.5</v>
      </c>
      <c r="F233">
        <v>0.6</v>
      </c>
      <c r="G233">
        <v>0.22500000000000001</v>
      </c>
      <c r="H233">
        <v>0.8</v>
      </c>
      <c r="I233">
        <v>0.9</v>
      </c>
      <c r="J233">
        <v>6000</v>
      </c>
      <c r="K233">
        <v>7000</v>
      </c>
      <c r="L233">
        <v>1.1499999999999999</v>
      </c>
      <c r="M233">
        <f t="shared" si="8"/>
        <v>0.57434668875000006</v>
      </c>
      <c r="N233">
        <f t="shared" si="7"/>
        <v>0.6604986920625</v>
      </c>
      <c r="O233">
        <v>0.3</v>
      </c>
      <c r="P233">
        <v>198149607.61875001</v>
      </c>
    </row>
    <row r="234" spans="1:16" x14ac:dyDescent="0.15">
      <c r="A234" t="s">
        <v>60</v>
      </c>
      <c r="B234" t="s">
        <v>52</v>
      </c>
      <c r="C234">
        <v>2025</v>
      </c>
      <c r="D234">
        <v>30000</v>
      </c>
      <c r="E234">
        <v>50000</v>
      </c>
      <c r="F234">
        <v>0.55000000000000004</v>
      </c>
      <c r="G234">
        <v>0.2</v>
      </c>
      <c r="H234">
        <v>0.7</v>
      </c>
      <c r="I234">
        <v>0.7</v>
      </c>
      <c r="J234">
        <v>4000</v>
      </c>
      <c r="K234">
        <v>6000</v>
      </c>
      <c r="L234">
        <v>1.3</v>
      </c>
      <c r="M234">
        <f t="shared" si="8"/>
        <v>8.8199999999999997E-3</v>
      </c>
      <c r="N234">
        <f>(D234*F234*H234*J234+E234*G234*I234*K234)*L234/10000000000</f>
        <v>1.1466E-2</v>
      </c>
      <c r="O234">
        <v>0.4</v>
      </c>
      <c r="P234">
        <v>113040000</v>
      </c>
    </row>
    <row r="235" spans="1:16" x14ac:dyDescent="0.15">
      <c r="A235" t="s">
        <v>60</v>
      </c>
      <c r="B235" t="s">
        <v>52</v>
      </c>
      <c r="C235">
        <v>2026</v>
      </c>
      <c r="D235">
        <v>55000</v>
      </c>
      <c r="E235">
        <v>55000</v>
      </c>
      <c r="F235">
        <v>0.54</v>
      </c>
      <c r="G235">
        <v>0.19</v>
      </c>
      <c r="H235">
        <v>0.71</v>
      </c>
      <c r="I235">
        <v>0.71</v>
      </c>
      <c r="J235">
        <v>4000</v>
      </c>
      <c r="K235">
        <v>6000</v>
      </c>
      <c r="L235">
        <v>1.29</v>
      </c>
      <c r="M235">
        <f t="shared" si="8"/>
        <v>1.2886499999999999E-2</v>
      </c>
      <c r="N235">
        <f t="shared" ref="N235:N287" si="9">(D235*F235*H235*J235+E235*G235*I235*K235)*L235/10000000000</f>
        <v>1.6623585E-2</v>
      </c>
      <c r="O235">
        <v>0.4</v>
      </c>
      <c r="P235">
        <v>121994136</v>
      </c>
    </row>
    <row r="236" spans="1:16" x14ac:dyDescent="0.15">
      <c r="A236" t="s">
        <v>60</v>
      </c>
      <c r="B236" t="s">
        <v>52</v>
      </c>
      <c r="C236">
        <v>2027</v>
      </c>
      <c r="D236">
        <v>60500</v>
      </c>
      <c r="E236">
        <v>63150</v>
      </c>
      <c r="F236">
        <v>0.53</v>
      </c>
      <c r="G236">
        <v>0.18</v>
      </c>
      <c r="H236">
        <v>0.72</v>
      </c>
      <c r="I236">
        <v>0.72</v>
      </c>
      <c r="J236">
        <v>4000</v>
      </c>
      <c r="K236">
        <v>6000</v>
      </c>
      <c r="L236">
        <v>1.28</v>
      </c>
      <c r="M236">
        <f t="shared" si="8"/>
        <v>1.4145264000000001E-2</v>
      </c>
      <c r="N236">
        <f t="shared" si="9"/>
        <v>1.8105937920000002E-2</v>
      </c>
      <c r="O236">
        <v>0.4</v>
      </c>
      <c r="P236">
        <v>131417228.8</v>
      </c>
    </row>
    <row r="237" spans="1:16" x14ac:dyDescent="0.15">
      <c r="A237" t="s">
        <v>60</v>
      </c>
      <c r="B237" t="s">
        <v>52</v>
      </c>
      <c r="C237">
        <v>2028</v>
      </c>
      <c r="D237">
        <v>66550</v>
      </c>
      <c r="E237">
        <v>75650</v>
      </c>
      <c r="F237">
        <v>0.52</v>
      </c>
      <c r="G237">
        <v>0.17</v>
      </c>
      <c r="H237">
        <v>0.73</v>
      </c>
      <c r="I237">
        <v>0.73</v>
      </c>
      <c r="J237">
        <v>4000</v>
      </c>
      <c r="K237">
        <v>6000</v>
      </c>
      <c r="L237">
        <v>1.27</v>
      </c>
      <c r="M237">
        <f t="shared" si="8"/>
        <v>1.5737851000000001E-2</v>
      </c>
      <c r="N237">
        <f t="shared" si="9"/>
        <v>1.998707077E-2</v>
      </c>
      <c r="O237">
        <v>0.4</v>
      </c>
      <c r="P237">
        <v>141290867.52000001</v>
      </c>
    </row>
    <row r="238" spans="1:16" x14ac:dyDescent="0.15">
      <c r="A238" t="s">
        <v>60</v>
      </c>
      <c r="B238" t="s">
        <v>52</v>
      </c>
      <c r="C238">
        <v>2029</v>
      </c>
      <c r="D238">
        <v>73200</v>
      </c>
      <c r="E238">
        <v>86600</v>
      </c>
      <c r="F238">
        <v>0.51</v>
      </c>
      <c r="G238">
        <v>0.16</v>
      </c>
      <c r="H238">
        <v>0.74</v>
      </c>
      <c r="I238">
        <v>0.74</v>
      </c>
      <c r="J238">
        <v>4000</v>
      </c>
      <c r="K238">
        <v>6000</v>
      </c>
      <c r="L238">
        <v>1.26</v>
      </c>
      <c r="M238">
        <f t="shared" si="8"/>
        <v>1.7202336000000002E-2</v>
      </c>
      <c r="N238">
        <f t="shared" si="9"/>
        <v>2.1674943360000001E-2</v>
      </c>
      <c r="O238">
        <v>0.4</v>
      </c>
      <c r="P238">
        <v>151575298.56</v>
      </c>
    </row>
    <row r="239" spans="1:16" x14ac:dyDescent="0.15">
      <c r="A239" t="s">
        <v>60</v>
      </c>
      <c r="B239" t="s">
        <v>52</v>
      </c>
      <c r="C239">
        <v>2030</v>
      </c>
      <c r="D239">
        <v>80500</v>
      </c>
      <c r="E239">
        <v>91500</v>
      </c>
      <c r="F239">
        <v>0.5</v>
      </c>
      <c r="G239">
        <v>0.15</v>
      </c>
      <c r="H239">
        <v>0.75</v>
      </c>
      <c r="I239">
        <v>0.75</v>
      </c>
      <c r="J239">
        <v>4000</v>
      </c>
      <c r="K239">
        <v>6000</v>
      </c>
      <c r="L239">
        <v>1.25</v>
      </c>
      <c r="M239">
        <f t="shared" si="8"/>
        <v>1.825125E-2</v>
      </c>
      <c r="N239">
        <f t="shared" si="9"/>
        <v>2.2814062499999999E-2</v>
      </c>
      <c r="O239">
        <v>0.4</v>
      </c>
      <c r="P239">
        <v>162207500</v>
      </c>
    </row>
    <row r="240" spans="1:16" x14ac:dyDescent="0.15">
      <c r="A240" t="s">
        <v>60</v>
      </c>
      <c r="B240" t="s">
        <v>53</v>
      </c>
      <c r="C240">
        <v>2025</v>
      </c>
      <c r="D240">
        <v>30000</v>
      </c>
      <c r="E240">
        <v>50000</v>
      </c>
      <c r="F240">
        <v>0.55000000000000004</v>
      </c>
      <c r="G240">
        <v>0.2</v>
      </c>
      <c r="H240">
        <v>0.7</v>
      </c>
      <c r="I240">
        <v>0.7</v>
      </c>
      <c r="J240">
        <v>6000</v>
      </c>
      <c r="K240">
        <v>7000</v>
      </c>
      <c r="L240">
        <v>1.2</v>
      </c>
      <c r="M240">
        <f t="shared" si="8"/>
        <v>1.183E-2</v>
      </c>
      <c r="N240">
        <f t="shared" si="9"/>
        <v>1.4196E-2</v>
      </c>
      <c r="O240">
        <v>0.15</v>
      </c>
      <c r="P240">
        <v>54405000</v>
      </c>
    </row>
    <row r="241" spans="1:16" x14ac:dyDescent="0.15">
      <c r="A241" t="s">
        <v>60</v>
      </c>
      <c r="B241" t="s">
        <v>53</v>
      </c>
      <c r="C241">
        <v>2026</v>
      </c>
      <c r="D241">
        <v>34000</v>
      </c>
      <c r="E241">
        <v>55000</v>
      </c>
      <c r="F241">
        <v>0.56000000000000005</v>
      </c>
      <c r="G241">
        <v>0.20499999999999999</v>
      </c>
      <c r="H241">
        <v>0.71</v>
      </c>
      <c r="I241">
        <v>0.71</v>
      </c>
      <c r="J241">
        <v>6000</v>
      </c>
      <c r="K241">
        <v>7000</v>
      </c>
      <c r="L241">
        <v>1.19</v>
      </c>
      <c r="M241">
        <f t="shared" si="8"/>
        <v>1.3714715000000001E-2</v>
      </c>
      <c r="N241">
        <f t="shared" si="9"/>
        <v>1.6320510850000001E-2</v>
      </c>
      <c r="O241">
        <v>0.15</v>
      </c>
      <c r="P241">
        <v>61417298.25</v>
      </c>
    </row>
    <row r="242" spans="1:16" x14ac:dyDescent="0.15">
      <c r="A242" t="s">
        <v>60</v>
      </c>
      <c r="B242" t="s">
        <v>53</v>
      </c>
      <c r="C242">
        <v>2027</v>
      </c>
      <c r="D242">
        <v>40500</v>
      </c>
      <c r="E242">
        <v>61500</v>
      </c>
      <c r="F242">
        <v>0.56999999999999995</v>
      </c>
      <c r="G242">
        <v>0.21</v>
      </c>
      <c r="H242">
        <v>0.72</v>
      </c>
      <c r="I242">
        <v>0.72</v>
      </c>
      <c r="J242">
        <v>6000</v>
      </c>
      <c r="K242">
        <v>7000</v>
      </c>
      <c r="L242">
        <v>1.18</v>
      </c>
      <c r="M242">
        <f t="shared" si="8"/>
        <v>1.6481879999999994E-2</v>
      </c>
      <c r="N242">
        <f t="shared" si="9"/>
        <v>1.9448618399999992E-2</v>
      </c>
      <c r="O242">
        <v>0.15</v>
      </c>
      <c r="P242">
        <v>69285065.849999994</v>
      </c>
    </row>
    <row r="243" spans="1:16" x14ac:dyDescent="0.15">
      <c r="A243" t="s">
        <v>60</v>
      </c>
      <c r="B243" t="s">
        <v>53</v>
      </c>
      <c r="C243">
        <v>2028</v>
      </c>
      <c r="D243">
        <v>56500</v>
      </c>
      <c r="E243">
        <v>69500</v>
      </c>
      <c r="F243">
        <v>0.57999999999999996</v>
      </c>
      <c r="G243">
        <v>0.215</v>
      </c>
      <c r="H243">
        <v>0.73</v>
      </c>
      <c r="I243">
        <v>0.73</v>
      </c>
      <c r="J243">
        <v>6000</v>
      </c>
      <c r="K243">
        <v>7000</v>
      </c>
      <c r="L243">
        <v>1.17</v>
      </c>
      <c r="M243">
        <f t="shared" si="8"/>
        <v>2.19888775E-2</v>
      </c>
      <c r="N243">
        <f t="shared" si="9"/>
        <v>2.5726986674999997E-2</v>
      </c>
      <c r="O243">
        <v>0.15</v>
      </c>
      <c r="P243">
        <v>78049307.699999988</v>
      </c>
    </row>
    <row r="244" spans="1:16" x14ac:dyDescent="0.15">
      <c r="A244" t="s">
        <v>60</v>
      </c>
      <c r="B244" t="s">
        <v>53</v>
      </c>
      <c r="C244">
        <v>2029</v>
      </c>
      <c r="D244">
        <v>63000</v>
      </c>
      <c r="E244">
        <v>79500</v>
      </c>
      <c r="F244">
        <v>0.59</v>
      </c>
      <c r="G244">
        <v>0.22</v>
      </c>
      <c r="H244">
        <v>0.74</v>
      </c>
      <c r="I244">
        <v>0.74</v>
      </c>
      <c r="J244">
        <v>6000</v>
      </c>
      <c r="K244">
        <v>7000</v>
      </c>
      <c r="L244">
        <v>1.1599999999999999</v>
      </c>
      <c r="M244">
        <f t="shared" si="8"/>
        <v>2.5563300000000001E-2</v>
      </c>
      <c r="N244">
        <f t="shared" si="9"/>
        <v>2.9653427999999999E-2</v>
      </c>
      <c r="O244">
        <v>0.15</v>
      </c>
      <c r="P244">
        <v>87869739</v>
      </c>
    </row>
    <row r="245" spans="1:16" x14ac:dyDescent="0.15">
      <c r="A245" t="s">
        <v>60</v>
      </c>
      <c r="B245" t="s">
        <v>53</v>
      </c>
      <c r="C245">
        <v>2030</v>
      </c>
      <c r="D245">
        <v>70000</v>
      </c>
      <c r="E245">
        <v>89500</v>
      </c>
      <c r="F245">
        <v>0.6</v>
      </c>
      <c r="G245">
        <v>0.22500000000000001</v>
      </c>
      <c r="H245">
        <v>0.75</v>
      </c>
      <c r="I245">
        <v>0.75</v>
      </c>
      <c r="J245">
        <v>6000</v>
      </c>
      <c r="K245">
        <v>7000</v>
      </c>
      <c r="L245">
        <v>1.1499999999999999</v>
      </c>
      <c r="M245">
        <f t="shared" si="8"/>
        <v>2.9472187500000004E-2</v>
      </c>
      <c r="N245">
        <f t="shared" si="9"/>
        <v>3.3893015625000002E-2</v>
      </c>
      <c r="O245">
        <v>0.15</v>
      </c>
      <c r="P245">
        <v>98550759.375</v>
      </c>
    </row>
    <row r="246" spans="1:16" x14ac:dyDescent="0.15">
      <c r="A246" t="s">
        <v>60</v>
      </c>
      <c r="B246" t="s">
        <v>54</v>
      </c>
      <c r="C246">
        <v>2025</v>
      </c>
      <c r="D246">
        <v>30000</v>
      </c>
      <c r="E246">
        <v>50000</v>
      </c>
      <c r="F246">
        <v>0.55000000000000004</v>
      </c>
      <c r="G246">
        <v>0.2</v>
      </c>
      <c r="H246">
        <v>0.7</v>
      </c>
      <c r="I246">
        <v>0.7</v>
      </c>
      <c r="J246">
        <v>6000</v>
      </c>
      <c r="K246">
        <v>7200</v>
      </c>
      <c r="L246">
        <v>1.25</v>
      </c>
      <c r="M246">
        <f t="shared" si="8"/>
        <v>1.197E-2</v>
      </c>
      <c r="N246">
        <f t="shared" si="9"/>
        <v>1.49625E-2</v>
      </c>
      <c r="O246">
        <v>0.4</v>
      </c>
      <c r="P246">
        <v>147528000</v>
      </c>
    </row>
    <row r="247" spans="1:16" x14ac:dyDescent="0.15">
      <c r="A247" t="s">
        <v>60</v>
      </c>
      <c r="B247" t="s">
        <v>54</v>
      </c>
      <c r="C247">
        <v>2026</v>
      </c>
      <c r="D247">
        <v>35000</v>
      </c>
      <c r="E247">
        <v>55000</v>
      </c>
      <c r="F247">
        <v>0.56000000000000005</v>
      </c>
      <c r="G247">
        <v>0.20499999999999999</v>
      </c>
      <c r="H247">
        <v>0.71</v>
      </c>
      <c r="I247">
        <v>0.71</v>
      </c>
      <c r="J247">
        <v>6000</v>
      </c>
      <c r="K247">
        <v>7200</v>
      </c>
      <c r="L247">
        <v>1.24</v>
      </c>
      <c r="M247">
        <f t="shared" si="8"/>
        <v>1.4113379999999998E-2</v>
      </c>
      <c r="N247">
        <f t="shared" si="9"/>
        <v>1.7500591199999999E-2</v>
      </c>
      <c r="O247">
        <v>0.4</v>
      </c>
      <c r="P247">
        <v>166548782.40000001</v>
      </c>
    </row>
    <row r="248" spans="1:16" x14ac:dyDescent="0.15">
      <c r="A248" t="s">
        <v>60</v>
      </c>
      <c r="B248" t="s">
        <v>54</v>
      </c>
      <c r="C248">
        <v>2027</v>
      </c>
      <c r="D248">
        <v>40500</v>
      </c>
      <c r="E248">
        <v>61500</v>
      </c>
      <c r="F248">
        <v>0.56999999999999995</v>
      </c>
      <c r="G248">
        <v>0.21</v>
      </c>
      <c r="H248">
        <v>0.72</v>
      </c>
      <c r="I248">
        <v>0.72</v>
      </c>
      <c r="J248">
        <v>6000</v>
      </c>
      <c r="K248">
        <v>7200</v>
      </c>
      <c r="L248">
        <v>1.23</v>
      </c>
      <c r="M248">
        <f t="shared" si="8"/>
        <v>1.6667855999999995E-2</v>
      </c>
      <c r="N248">
        <f t="shared" si="9"/>
        <v>2.0501462879999995E-2</v>
      </c>
      <c r="O248">
        <v>0.4</v>
      </c>
      <c r="P248">
        <v>187890484.31999999</v>
      </c>
    </row>
    <row r="249" spans="1:16" x14ac:dyDescent="0.15">
      <c r="A249" t="s">
        <v>60</v>
      </c>
      <c r="B249" t="s">
        <v>54</v>
      </c>
      <c r="C249">
        <v>2028</v>
      </c>
      <c r="D249">
        <v>46550</v>
      </c>
      <c r="E249">
        <v>69650</v>
      </c>
      <c r="F249">
        <v>0.57999999999999996</v>
      </c>
      <c r="G249">
        <v>0.215</v>
      </c>
      <c r="H249">
        <v>0.73</v>
      </c>
      <c r="I249">
        <v>0.73</v>
      </c>
      <c r="J249">
        <v>6000</v>
      </c>
      <c r="K249">
        <v>7200</v>
      </c>
      <c r="L249">
        <v>1.22</v>
      </c>
      <c r="M249">
        <f t="shared" si="8"/>
        <v>1.9696290599999999E-2</v>
      </c>
      <c r="N249">
        <f t="shared" si="9"/>
        <v>2.4029474531999998E-2</v>
      </c>
      <c r="O249">
        <v>0.4</v>
      </c>
      <c r="P249">
        <v>211823602.84799999</v>
      </c>
    </row>
    <row r="250" spans="1:16" x14ac:dyDescent="0.15">
      <c r="A250" t="s">
        <v>60</v>
      </c>
      <c r="B250" t="s">
        <v>54</v>
      </c>
      <c r="C250">
        <v>2029</v>
      </c>
      <c r="D250">
        <v>53205</v>
      </c>
      <c r="E250">
        <v>76615</v>
      </c>
      <c r="F250">
        <v>0.59</v>
      </c>
      <c r="G250">
        <v>0.22</v>
      </c>
      <c r="H250">
        <v>0.74</v>
      </c>
      <c r="I250">
        <v>0.74</v>
      </c>
      <c r="J250">
        <v>6000</v>
      </c>
      <c r="K250">
        <v>7200</v>
      </c>
      <c r="L250">
        <v>1.21</v>
      </c>
      <c r="M250">
        <f t="shared" si="8"/>
        <v>2.2918085639999995E-2</v>
      </c>
      <c r="N250">
        <f t="shared" si="9"/>
        <v>2.7730883624399995E-2</v>
      </c>
      <c r="O250">
        <v>0.4</v>
      </c>
      <c r="P250">
        <v>238648909.06560001</v>
      </c>
    </row>
    <row r="251" spans="1:16" x14ac:dyDescent="0.15">
      <c r="A251" t="s">
        <v>60</v>
      </c>
      <c r="B251" t="s">
        <v>54</v>
      </c>
      <c r="C251">
        <v>2030</v>
      </c>
      <c r="D251">
        <v>60525</v>
      </c>
      <c r="E251">
        <v>81576</v>
      </c>
      <c r="F251">
        <v>0.6</v>
      </c>
      <c r="G251">
        <v>0.22500000000000001</v>
      </c>
      <c r="H251">
        <v>0.75</v>
      </c>
      <c r="I251">
        <v>0.75</v>
      </c>
      <c r="J251">
        <v>6000</v>
      </c>
      <c r="K251">
        <v>7200</v>
      </c>
      <c r="L251">
        <v>1.2</v>
      </c>
      <c r="M251">
        <f t="shared" si="8"/>
        <v>2.6253234000000004E-2</v>
      </c>
      <c r="N251">
        <f t="shared" si="9"/>
        <v>3.1503880800000002E-2</v>
      </c>
      <c r="O251">
        <v>0.4</v>
      </c>
      <c r="P251">
        <v>268699711.68000001</v>
      </c>
    </row>
    <row r="252" spans="1:16" x14ac:dyDescent="0.15">
      <c r="A252" t="s">
        <v>60</v>
      </c>
      <c r="B252" t="s">
        <v>55</v>
      </c>
      <c r="C252">
        <v>2025</v>
      </c>
      <c r="D252">
        <v>30000</v>
      </c>
      <c r="E252">
        <v>50000</v>
      </c>
      <c r="F252">
        <v>0.55000000000000004</v>
      </c>
      <c r="G252">
        <v>0.2</v>
      </c>
      <c r="H252">
        <v>0.75</v>
      </c>
      <c r="I252">
        <v>0.7</v>
      </c>
      <c r="J252">
        <v>4000</v>
      </c>
      <c r="K252">
        <v>6000</v>
      </c>
      <c r="L252">
        <v>1.17</v>
      </c>
      <c r="M252">
        <f t="shared" si="8"/>
        <v>9.1500000000000001E-3</v>
      </c>
      <c r="N252">
        <f t="shared" si="9"/>
        <v>1.07055E-2</v>
      </c>
      <c r="O252">
        <v>0.4</v>
      </c>
      <c r="P252">
        <v>109680000</v>
      </c>
    </row>
    <row r="253" spans="1:16" x14ac:dyDescent="0.15">
      <c r="A253" t="s">
        <v>60</v>
      </c>
      <c r="B253" t="s">
        <v>55</v>
      </c>
      <c r="C253">
        <v>2026</v>
      </c>
      <c r="D253">
        <v>35000</v>
      </c>
      <c r="E253">
        <v>55000</v>
      </c>
      <c r="F253">
        <v>0.56000000000000005</v>
      </c>
      <c r="G253">
        <v>0.20499999999999999</v>
      </c>
      <c r="H253">
        <v>0.76</v>
      </c>
      <c r="I253">
        <v>0.71</v>
      </c>
      <c r="J253">
        <v>4000</v>
      </c>
      <c r="K253">
        <v>6000</v>
      </c>
      <c r="L253">
        <v>1.1599999999999999</v>
      </c>
      <c r="M253">
        <f t="shared" si="8"/>
        <v>1.0761550000000002E-2</v>
      </c>
      <c r="N253">
        <f t="shared" si="9"/>
        <v>1.2483398000000001E-2</v>
      </c>
      <c r="O253">
        <v>0.4</v>
      </c>
      <c r="P253">
        <v>123852344</v>
      </c>
    </row>
    <row r="254" spans="1:16" x14ac:dyDescent="0.15">
      <c r="A254" t="s">
        <v>60</v>
      </c>
      <c r="B254" t="s">
        <v>55</v>
      </c>
      <c r="C254">
        <v>2027</v>
      </c>
      <c r="D254">
        <v>40500</v>
      </c>
      <c r="E254">
        <v>61500</v>
      </c>
      <c r="F254">
        <v>0.56999999999999995</v>
      </c>
      <c r="G254">
        <v>0.21</v>
      </c>
      <c r="H254">
        <v>0.77</v>
      </c>
      <c r="I254">
        <v>0.72</v>
      </c>
      <c r="J254">
        <v>4000</v>
      </c>
      <c r="K254">
        <v>6000</v>
      </c>
      <c r="L254">
        <v>1.1499999999999999</v>
      </c>
      <c r="M254">
        <f t="shared" si="8"/>
        <v>1.2689459999999996E-2</v>
      </c>
      <c r="N254">
        <f t="shared" si="9"/>
        <v>1.4592878999999994E-2</v>
      </c>
      <c r="O254">
        <v>0.4</v>
      </c>
      <c r="P254">
        <v>139758775.19999999</v>
      </c>
    </row>
    <row r="255" spans="1:16" x14ac:dyDescent="0.15">
      <c r="A255" t="s">
        <v>60</v>
      </c>
      <c r="B255" t="s">
        <v>55</v>
      </c>
      <c r="C255">
        <v>2028</v>
      </c>
      <c r="D255">
        <v>46500</v>
      </c>
      <c r="E255">
        <v>69500</v>
      </c>
      <c r="F255">
        <v>0.57999999999999996</v>
      </c>
      <c r="G255">
        <v>0.215</v>
      </c>
      <c r="H255">
        <v>0.78</v>
      </c>
      <c r="I255">
        <v>0.73</v>
      </c>
      <c r="J255">
        <v>4000</v>
      </c>
      <c r="K255">
        <v>6000</v>
      </c>
      <c r="L255">
        <v>1.1399999999999999</v>
      </c>
      <c r="M255">
        <f t="shared" si="8"/>
        <v>1.4959455000000002E-2</v>
      </c>
      <c r="N255">
        <f t="shared" si="9"/>
        <v>1.7053778700000001E-2</v>
      </c>
      <c r="O255">
        <v>0.4</v>
      </c>
      <c r="P255">
        <v>157483544.40000001</v>
      </c>
    </row>
    <row r="256" spans="1:16" x14ac:dyDescent="0.15">
      <c r="A256" t="s">
        <v>60</v>
      </c>
      <c r="B256" t="s">
        <v>55</v>
      </c>
      <c r="C256">
        <v>2029</v>
      </c>
      <c r="D256">
        <v>53000</v>
      </c>
      <c r="E256">
        <v>79500</v>
      </c>
      <c r="F256">
        <v>0.59</v>
      </c>
      <c r="G256">
        <v>0.22</v>
      </c>
      <c r="H256">
        <v>0.79</v>
      </c>
      <c r="I256">
        <v>0.74</v>
      </c>
      <c r="J256">
        <v>4000</v>
      </c>
      <c r="K256">
        <v>6000</v>
      </c>
      <c r="L256">
        <v>1.1299999999999999</v>
      </c>
      <c r="M256">
        <f t="shared" si="8"/>
        <v>1.764688E-2</v>
      </c>
      <c r="N256">
        <f t="shared" si="9"/>
        <v>1.9940974399999999E-2</v>
      </c>
      <c r="O256">
        <v>0.4</v>
      </c>
      <c r="P256">
        <v>177351843.19999999</v>
      </c>
    </row>
    <row r="257" spans="1:16" x14ac:dyDescent="0.15">
      <c r="A257" t="s">
        <v>60</v>
      </c>
      <c r="B257" t="s">
        <v>55</v>
      </c>
      <c r="C257">
        <v>2030</v>
      </c>
      <c r="D257">
        <v>60000</v>
      </c>
      <c r="E257">
        <v>90000</v>
      </c>
      <c r="F257">
        <v>0.6</v>
      </c>
      <c r="G257">
        <v>0.22500000000000001</v>
      </c>
      <c r="H257">
        <v>0.8</v>
      </c>
      <c r="I257">
        <v>0.75</v>
      </c>
      <c r="J257">
        <v>4000</v>
      </c>
      <c r="K257">
        <v>6000</v>
      </c>
      <c r="L257">
        <v>1.1200000000000001</v>
      </c>
      <c r="M257">
        <f t="shared" si="8"/>
        <v>2.0632500000000002E-2</v>
      </c>
      <c r="N257">
        <f t="shared" si="9"/>
        <v>2.3108400000000005E-2</v>
      </c>
      <c r="O257">
        <v>0.4</v>
      </c>
      <c r="P257">
        <v>198720000</v>
      </c>
    </row>
    <row r="258" spans="1:16" x14ac:dyDescent="0.15">
      <c r="A258" t="s">
        <v>60</v>
      </c>
      <c r="B258" t="s">
        <v>56</v>
      </c>
      <c r="C258">
        <v>2025</v>
      </c>
      <c r="D258">
        <v>30000</v>
      </c>
      <c r="E258">
        <v>50000</v>
      </c>
      <c r="F258">
        <v>0.55000000000000004</v>
      </c>
      <c r="G258">
        <v>0.25</v>
      </c>
      <c r="H258">
        <v>0.7</v>
      </c>
      <c r="I258">
        <v>0.7</v>
      </c>
      <c r="J258">
        <v>8000</v>
      </c>
      <c r="K258">
        <v>8500</v>
      </c>
      <c r="L258">
        <v>1.17</v>
      </c>
      <c r="M258">
        <f t="shared" si="8"/>
        <v>1.6677500000000001E-2</v>
      </c>
      <c r="N258">
        <f t="shared" si="9"/>
        <v>1.9512675E-2</v>
      </c>
      <c r="O258">
        <v>0.4</v>
      </c>
      <c r="P258">
        <v>209250000</v>
      </c>
    </row>
    <row r="259" spans="1:16" x14ac:dyDescent="0.15">
      <c r="A259" t="s">
        <v>60</v>
      </c>
      <c r="B259" t="s">
        <v>56</v>
      </c>
      <c r="C259">
        <v>2026</v>
      </c>
      <c r="D259">
        <v>35000</v>
      </c>
      <c r="E259">
        <v>55000</v>
      </c>
      <c r="F259">
        <v>0.54</v>
      </c>
      <c r="G259">
        <v>0.245</v>
      </c>
      <c r="H259">
        <v>0.71</v>
      </c>
      <c r="I259">
        <v>0.71</v>
      </c>
      <c r="J259">
        <v>8000</v>
      </c>
      <c r="K259">
        <v>8500</v>
      </c>
      <c r="L259">
        <v>1.1599999999999999</v>
      </c>
      <c r="M259">
        <f t="shared" ref="M259:M287" si="10">N259/L259</f>
        <v>1.8867362499999998E-2</v>
      </c>
      <c r="N259">
        <f t="shared" si="9"/>
        <v>2.1886140499999998E-2</v>
      </c>
      <c r="O259">
        <v>0.4</v>
      </c>
      <c r="P259">
        <v>226615389</v>
      </c>
    </row>
    <row r="260" spans="1:16" x14ac:dyDescent="0.15">
      <c r="A260" t="s">
        <v>60</v>
      </c>
      <c r="B260" t="s">
        <v>56</v>
      </c>
      <c r="C260">
        <v>2027</v>
      </c>
      <c r="D260">
        <v>40500</v>
      </c>
      <c r="E260">
        <v>61500</v>
      </c>
      <c r="F260">
        <v>0.53</v>
      </c>
      <c r="G260">
        <v>0.24</v>
      </c>
      <c r="H260">
        <v>0.72</v>
      </c>
      <c r="I260">
        <v>0.72</v>
      </c>
      <c r="J260">
        <v>8000</v>
      </c>
      <c r="K260">
        <v>8500</v>
      </c>
      <c r="L260">
        <v>1.1499999999999999</v>
      </c>
      <c r="M260">
        <f t="shared" si="10"/>
        <v>2.139696E-2</v>
      </c>
      <c r="N260">
        <f t="shared" si="9"/>
        <v>2.4606503999999998E-2</v>
      </c>
      <c r="O260">
        <v>0.4</v>
      </c>
      <c r="P260">
        <v>245273195.19999999</v>
      </c>
    </row>
    <row r="261" spans="1:16" x14ac:dyDescent="0.15">
      <c r="A261" t="s">
        <v>60</v>
      </c>
      <c r="B261" t="s">
        <v>56</v>
      </c>
      <c r="C261">
        <v>2028</v>
      </c>
      <c r="D261">
        <v>46550</v>
      </c>
      <c r="E261">
        <v>69650</v>
      </c>
      <c r="F261">
        <v>0.52</v>
      </c>
      <c r="G261">
        <v>0.23499999999999999</v>
      </c>
      <c r="H261">
        <v>0.73</v>
      </c>
      <c r="I261">
        <v>0.73</v>
      </c>
      <c r="J261">
        <v>8000</v>
      </c>
      <c r="K261">
        <v>8500</v>
      </c>
      <c r="L261">
        <v>1.1399999999999999</v>
      </c>
      <c r="M261">
        <f t="shared" si="10"/>
        <v>2.4292492875000002E-2</v>
      </c>
      <c r="N261">
        <f t="shared" si="9"/>
        <v>2.7693441877499999E-2</v>
      </c>
      <c r="O261">
        <v>0.4</v>
      </c>
      <c r="P261">
        <v>265302746.28</v>
      </c>
    </row>
    <row r="262" spans="1:16" x14ac:dyDescent="0.15">
      <c r="A262" t="s">
        <v>60</v>
      </c>
      <c r="B262" t="s">
        <v>56</v>
      </c>
      <c r="C262">
        <v>2029</v>
      </c>
      <c r="D262">
        <v>53205</v>
      </c>
      <c r="E262">
        <v>79615</v>
      </c>
      <c r="F262">
        <v>0.51</v>
      </c>
      <c r="G262">
        <v>0.23</v>
      </c>
      <c r="H262">
        <v>0.74</v>
      </c>
      <c r="I262">
        <v>0.74</v>
      </c>
      <c r="J262">
        <v>8000</v>
      </c>
      <c r="K262">
        <v>8500</v>
      </c>
      <c r="L262">
        <v>1.1299999999999999</v>
      </c>
      <c r="M262">
        <f t="shared" si="10"/>
        <v>2.7581555650000002E-2</v>
      </c>
      <c r="N262">
        <f t="shared" si="9"/>
        <v>3.1167157884499998E-2</v>
      </c>
      <c r="O262">
        <v>0.4</v>
      </c>
      <c r="P262">
        <v>286786092.51599997</v>
      </c>
    </row>
    <row r="263" spans="1:16" x14ac:dyDescent="0.15">
      <c r="A263" t="s">
        <v>60</v>
      </c>
      <c r="B263" t="s">
        <v>56</v>
      </c>
      <c r="C263">
        <v>2030</v>
      </c>
      <c r="D263">
        <v>60525</v>
      </c>
      <c r="E263">
        <v>91576</v>
      </c>
      <c r="F263">
        <v>0.5</v>
      </c>
      <c r="G263">
        <v>0.22500000000000001</v>
      </c>
      <c r="H263">
        <v>0.75</v>
      </c>
      <c r="I263">
        <v>0.75</v>
      </c>
      <c r="J263">
        <v>8000</v>
      </c>
      <c r="K263">
        <v>8500</v>
      </c>
      <c r="L263">
        <v>1.1200000000000001</v>
      </c>
      <c r="M263">
        <f t="shared" si="10"/>
        <v>3.1292932500000002E-2</v>
      </c>
      <c r="N263">
        <f t="shared" si="9"/>
        <v>3.5048084400000006E-2</v>
      </c>
      <c r="O263">
        <v>0.4</v>
      </c>
      <c r="P263">
        <v>309806637.39999998</v>
      </c>
    </row>
    <row r="264" spans="1:16" x14ac:dyDescent="0.15">
      <c r="A264" t="s">
        <v>60</v>
      </c>
      <c r="B264" t="s">
        <v>57</v>
      </c>
      <c r="C264">
        <v>2025</v>
      </c>
      <c r="D264">
        <v>30000</v>
      </c>
      <c r="E264">
        <v>50000</v>
      </c>
      <c r="F264">
        <v>0.55000000000000004</v>
      </c>
      <c r="G264">
        <v>0.2</v>
      </c>
      <c r="H264">
        <v>0.7</v>
      </c>
      <c r="I264">
        <v>0.7</v>
      </c>
      <c r="J264">
        <v>4000</v>
      </c>
      <c r="K264">
        <v>6000</v>
      </c>
      <c r="L264">
        <v>1.17</v>
      </c>
      <c r="M264">
        <f t="shared" si="10"/>
        <v>8.8199999999999997E-3</v>
      </c>
      <c r="N264">
        <f t="shared" si="9"/>
        <v>1.0319399999999999E-2</v>
      </c>
      <c r="O264">
        <v>0.3</v>
      </c>
      <c r="P264">
        <v>84780000</v>
      </c>
    </row>
    <row r="265" spans="1:16" x14ac:dyDescent="0.15">
      <c r="A265" t="s">
        <v>60</v>
      </c>
      <c r="B265" t="s">
        <v>57</v>
      </c>
      <c r="C265">
        <v>2026</v>
      </c>
      <c r="D265">
        <v>35000</v>
      </c>
      <c r="E265">
        <v>55000</v>
      </c>
      <c r="F265">
        <v>0.56000000000000005</v>
      </c>
      <c r="G265">
        <v>0.20499999999999999</v>
      </c>
      <c r="H265">
        <v>0.71</v>
      </c>
      <c r="I265">
        <v>0.71</v>
      </c>
      <c r="J265">
        <v>4000</v>
      </c>
      <c r="K265">
        <v>6000</v>
      </c>
      <c r="L265">
        <v>1.18</v>
      </c>
      <c r="M265">
        <f t="shared" si="10"/>
        <v>1.0369550000000002E-2</v>
      </c>
      <c r="N265">
        <f t="shared" si="9"/>
        <v>1.2236069E-2</v>
      </c>
      <c r="O265">
        <v>0.3</v>
      </c>
      <c r="P265">
        <v>94931826</v>
      </c>
    </row>
    <row r="266" spans="1:16" x14ac:dyDescent="0.15">
      <c r="A266" t="s">
        <v>60</v>
      </c>
      <c r="B266" t="s">
        <v>57</v>
      </c>
      <c r="C266">
        <v>2027</v>
      </c>
      <c r="D266">
        <v>40500</v>
      </c>
      <c r="E266">
        <v>61500</v>
      </c>
      <c r="F266">
        <v>0.56999999999999995</v>
      </c>
      <c r="G266">
        <v>0.21</v>
      </c>
      <c r="H266">
        <v>0.72</v>
      </c>
      <c r="I266">
        <v>0.72</v>
      </c>
      <c r="J266">
        <v>4000</v>
      </c>
      <c r="K266">
        <v>6000</v>
      </c>
      <c r="L266">
        <v>1.1599999999999999</v>
      </c>
      <c r="M266">
        <f t="shared" si="10"/>
        <v>1.2227759999999997E-2</v>
      </c>
      <c r="N266">
        <f t="shared" si="9"/>
        <v>1.4184201599999996E-2</v>
      </c>
      <c r="O266">
        <v>0.3</v>
      </c>
      <c r="P266">
        <v>106200586.8</v>
      </c>
    </row>
    <row r="267" spans="1:16" x14ac:dyDescent="0.15">
      <c r="A267" t="s">
        <v>60</v>
      </c>
      <c r="B267" t="s">
        <v>57</v>
      </c>
      <c r="C267">
        <v>2028</v>
      </c>
      <c r="D267">
        <v>46500</v>
      </c>
      <c r="E267">
        <v>69500</v>
      </c>
      <c r="F267">
        <v>0.57999999999999996</v>
      </c>
      <c r="G267">
        <v>0.215</v>
      </c>
      <c r="H267">
        <v>0.73</v>
      </c>
      <c r="I267">
        <v>0.73</v>
      </c>
      <c r="J267">
        <v>4000</v>
      </c>
      <c r="K267">
        <v>6000</v>
      </c>
      <c r="L267">
        <v>1.1399999999999999</v>
      </c>
      <c r="M267">
        <f t="shared" si="10"/>
        <v>1.4420055000000003E-2</v>
      </c>
      <c r="N267">
        <f t="shared" si="9"/>
        <v>1.6438862700000001E-2</v>
      </c>
      <c r="O267">
        <v>0.3</v>
      </c>
      <c r="P267">
        <v>118609293.59999999</v>
      </c>
    </row>
    <row r="268" spans="1:16" x14ac:dyDescent="0.15">
      <c r="A268" t="s">
        <v>60</v>
      </c>
      <c r="B268" t="s">
        <v>57</v>
      </c>
      <c r="C268">
        <v>2029</v>
      </c>
      <c r="D268">
        <v>53000</v>
      </c>
      <c r="E268">
        <v>79500</v>
      </c>
      <c r="F268">
        <v>0.59</v>
      </c>
      <c r="G268">
        <v>0.22</v>
      </c>
      <c r="H268">
        <v>0.74</v>
      </c>
      <c r="I268">
        <v>0.74</v>
      </c>
      <c r="J268">
        <v>4000</v>
      </c>
      <c r="K268">
        <v>6000</v>
      </c>
      <c r="L268">
        <v>1.1200000000000001</v>
      </c>
      <c r="M268">
        <f t="shared" si="10"/>
        <v>1.7021480000000002E-2</v>
      </c>
      <c r="N268">
        <f t="shared" si="9"/>
        <v>1.9064057600000003E-2</v>
      </c>
      <c r="O268">
        <v>0.3</v>
      </c>
      <c r="P268">
        <v>132373852.8</v>
      </c>
    </row>
    <row r="269" spans="1:16" x14ac:dyDescent="0.15">
      <c r="A269" t="s">
        <v>60</v>
      </c>
      <c r="B269" t="s">
        <v>57</v>
      </c>
      <c r="C269">
        <v>2030</v>
      </c>
      <c r="D269">
        <v>60000</v>
      </c>
      <c r="E269">
        <v>90000</v>
      </c>
      <c r="F269">
        <v>0.6</v>
      </c>
      <c r="G269">
        <v>0.22500000000000001</v>
      </c>
      <c r="H269">
        <v>0.75</v>
      </c>
      <c r="I269">
        <v>0.75</v>
      </c>
      <c r="J269">
        <v>4000</v>
      </c>
      <c r="K269">
        <v>6000</v>
      </c>
      <c r="L269">
        <v>1.1000000000000001</v>
      </c>
      <c r="M269">
        <f t="shared" si="10"/>
        <v>1.99125E-2</v>
      </c>
      <c r="N269">
        <f t="shared" si="9"/>
        <v>2.1903750000000003E-2</v>
      </c>
      <c r="O269">
        <v>0.3</v>
      </c>
      <c r="P269">
        <v>146916000</v>
      </c>
    </row>
    <row r="270" spans="1:16" x14ac:dyDescent="0.15">
      <c r="A270" t="s">
        <v>60</v>
      </c>
      <c r="B270" t="s">
        <v>58</v>
      </c>
      <c r="C270">
        <v>2025</v>
      </c>
      <c r="D270">
        <v>30000</v>
      </c>
      <c r="E270">
        <v>50000</v>
      </c>
      <c r="F270">
        <v>0.55000000000000004</v>
      </c>
      <c r="G270">
        <v>0.2</v>
      </c>
      <c r="H270">
        <v>0.7</v>
      </c>
      <c r="I270">
        <v>0.7</v>
      </c>
      <c r="J270">
        <v>6000</v>
      </c>
      <c r="K270">
        <v>7000</v>
      </c>
      <c r="L270">
        <v>1.2</v>
      </c>
      <c r="M270">
        <f t="shared" si="10"/>
        <v>1.183E-2</v>
      </c>
      <c r="N270">
        <f t="shared" si="9"/>
        <v>1.4196E-2</v>
      </c>
      <c r="O270">
        <v>0.4</v>
      </c>
      <c r="P270">
        <v>145080000</v>
      </c>
    </row>
    <row r="271" spans="1:16" x14ac:dyDescent="0.15">
      <c r="A271" t="s">
        <v>60</v>
      </c>
      <c r="B271" t="s">
        <v>58</v>
      </c>
      <c r="C271">
        <v>2026</v>
      </c>
      <c r="D271">
        <v>35000</v>
      </c>
      <c r="E271">
        <v>55000</v>
      </c>
      <c r="F271">
        <v>0.54</v>
      </c>
      <c r="G271">
        <v>0.19500000000000001</v>
      </c>
      <c r="H271">
        <v>0.71</v>
      </c>
      <c r="I271">
        <v>0.71</v>
      </c>
      <c r="J271">
        <v>6000</v>
      </c>
      <c r="K271">
        <v>7000</v>
      </c>
      <c r="L271">
        <v>1.19</v>
      </c>
      <c r="M271">
        <f t="shared" si="10"/>
        <v>1.3381725000000001E-2</v>
      </c>
      <c r="N271">
        <f t="shared" si="9"/>
        <v>1.5924252749999999E-2</v>
      </c>
      <c r="O271">
        <v>0.4</v>
      </c>
      <c r="P271">
        <v>156663738</v>
      </c>
    </row>
    <row r="272" spans="1:16" x14ac:dyDescent="0.15">
      <c r="A272" t="s">
        <v>60</v>
      </c>
      <c r="B272" t="s">
        <v>58</v>
      </c>
      <c r="C272">
        <v>2027</v>
      </c>
      <c r="D272">
        <v>40500</v>
      </c>
      <c r="E272">
        <v>61500</v>
      </c>
      <c r="F272">
        <v>0.53</v>
      </c>
      <c r="G272">
        <v>0.191</v>
      </c>
      <c r="H272">
        <v>0.72</v>
      </c>
      <c r="I272">
        <v>0.72</v>
      </c>
      <c r="J272">
        <v>6000</v>
      </c>
      <c r="K272">
        <v>7000</v>
      </c>
      <c r="L272">
        <v>1.18</v>
      </c>
      <c r="M272">
        <f t="shared" si="10"/>
        <v>1.5193116E-2</v>
      </c>
      <c r="N272">
        <f t="shared" si="9"/>
        <v>1.7927876879999999E-2</v>
      </c>
      <c r="O272">
        <v>0.4</v>
      </c>
      <c r="P272">
        <v>169570382.52000001</v>
      </c>
    </row>
    <row r="273" spans="1:16" x14ac:dyDescent="0.15">
      <c r="A273" t="s">
        <v>60</v>
      </c>
      <c r="B273" t="s">
        <v>58</v>
      </c>
      <c r="C273">
        <v>2028</v>
      </c>
      <c r="D273">
        <v>46550</v>
      </c>
      <c r="E273">
        <v>69650</v>
      </c>
      <c r="F273">
        <v>0.52</v>
      </c>
      <c r="G273">
        <v>0.187</v>
      </c>
      <c r="H273">
        <v>0.73</v>
      </c>
      <c r="I273">
        <v>0.73</v>
      </c>
      <c r="J273">
        <v>6000</v>
      </c>
      <c r="K273">
        <v>7000</v>
      </c>
      <c r="L273">
        <v>1.17</v>
      </c>
      <c r="M273">
        <f t="shared" si="10"/>
        <v>1.7257773050000001E-2</v>
      </c>
      <c r="N273">
        <f t="shared" si="9"/>
        <v>2.0191594468499999E-2</v>
      </c>
      <c r="O273">
        <v>0.4</v>
      </c>
      <c r="P273">
        <v>183426472.94400001</v>
      </c>
    </row>
    <row r="274" spans="1:16" x14ac:dyDescent="0.15">
      <c r="A274" t="s">
        <v>60</v>
      </c>
      <c r="B274" t="s">
        <v>58</v>
      </c>
      <c r="C274">
        <v>2029</v>
      </c>
      <c r="D274">
        <v>53205</v>
      </c>
      <c r="E274">
        <v>79615</v>
      </c>
      <c r="F274">
        <v>0.51</v>
      </c>
      <c r="G274">
        <v>0.183</v>
      </c>
      <c r="H274">
        <v>0.74</v>
      </c>
      <c r="I274">
        <v>0.74</v>
      </c>
      <c r="J274">
        <v>6000</v>
      </c>
      <c r="K274">
        <v>7000</v>
      </c>
      <c r="L274">
        <v>1.1599999999999999</v>
      </c>
      <c r="M274">
        <f t="shared" si="10"/>
        <v>1.9594764510000001E-2</v>
      </c>
      <c r="N274">
        <f t="shared" si="9"/>
        <v>2.2729926831599998E-2</v>
      </c>
      <c r="O274">
        <v>0.4</v>
      </c>
      <c r="P274">
        <v>198288837.4104</v>
      </c>
    </row>
    <row r="275" spans="1:16" x14ac:dyDescent="0.15">
      <c r="A275" t="s">
        <v>60</v>
      </c>
      <c r="B275" t="s">
        <v>58</v>
      </c>
      <c r="C275">
        <v>2030</v>
      </c>
      <c r="D275">
        <v>60525</v>
      </c>
      <c r="E275">
        <v>91576</v>
      </c>
      <c r="F275">
        <v>0.5</v>
      </c>
      <c r="G275">
        <v>0.17899999999999999</v>
      </c>
      <c r="H275">
        <v>0.75</v>
      </c>
      <c r="I275">
        <v>0.75</v>
      </c>
      <c r="J275">
        <v>6000</v>
      </c>
      <c r="K275">
        <v>7000</v>
      </c>
      <c r="L275">
        <v>1.1499999999999999</v>
      </c>
      <c r="M275">
        <f t="shared" si="10"/>
        <v>2.2223979599999999E-2</v>
      </c>
      <c r="N275">
        <f t="shared" si="9"/>
        <v>2.5557576539999998E-2</v>
      </c>
      <c r="O275">
        <v>0.4</v>
      </c>
      <c r="P275">
        <v>214215217.39199999</v>
      </c>
    </row>
    <row r="276" spans="1:16" x14ac:dyDescent="0.15">
      <c r="A276" t="s">
        <v>60</v>
      </c>
      <c r="B276" t="s">
        <v>39</v>
      </c>
      <c r="C276">
        <v>2025</v>
      </c>
      <c r="D276">
        <v>30000</v>
      </c>
      <c r="E276">
        <v>50000</v>
      </c>
      <c r="F276">
        <v>0.55000000000000004</v>
      </c>
      <c r="G276">
        <v>0.2</v>
      </c>
      <c r="H276">
        <v>0.7</v>
      </c>
      <c r="I276">
        <v>0.7</v>
      </c>
      <c r="J276">
        <v>4000</v>
      </c>
      <c r="K276">
        <v>6000</v>
      </c>
      <c r="L276">
        <v>1.1499999999999999</v>
      </c>
      <c r="M276">
        <f t="shared" si="10"/>
        <v>8.8199999999999997E-3</v>
      </c>
      <c r="N276">
        <f t="shared" si="9"/>
        <v>1.0142999999999999E-2</v>
      </c>
      <c r="O276">
        <v>0.1</v>
      </c>
      <c r="P276">
        <v>28260000</v>
      </c>
    </row>
    <row r="277" spans="1:16" x14ac:dyDescent="0.15">
      <c r="A277" t="s">
        <v>60</v>
      </c>
      <c r="B277" t="s">
        <v>39</v>
      </c>
      <c r="C277">
        <v>2026</v>
      </c>
      <c r="D277">
        <v>35000</v>
      </c>
      <c r="E277">
        <v>55000</v>
      </c>
      <c r="F277">
        <v>0.56000000000000005</v>
      </c>
      <c r="G277">
        <v>0.20499999999999999</v>
      </c>
      <c r="H277">
        <v>0.71</v>
      </c>
      <c r="I277">
        <v>0.71</v>
      </c>
      <c r="J277">
        <v>4000</v>
      </c>
      <c r="K277">
        <v>6000</v>
      </c>
      <c r="L277">
        <v>1.18</v>
      </c>
      <c r="M277">
        <f t="shared" si="10"/>
        <v>1.0369550000000002E-2</v>
      </c>
      <c r="N277">
        <f t="shared" si="9"/>
        <v>1.2236069E-2</v>
      </c>
      <c r="O277">
        <v>0.1</v>
      </c>
      <c r="P277">
        <v>31643942</v>
      </c>
    </row>
    <row r="278" spans="1:16" x14ac:dyDescent="0.15">
      <c r="A278" t="s">
        <v>60</v>
      </c>
      <c r="B278" t="s">
        <v>39</v>
      </c>
      <c r="C278">
        <v>2027</v>
      </c>
      <c r="D278">
        <v>40500</v>
      </c>
      <c r="E278">
        <v>61500</v>
      </c>
      <c r="F278">
        <v>0.56999999999999995</v>
      </c>
      <c r="G278">
        <v>0.21</v>
      </c>
      <c r="H278">
        <v>0.72</v>
      </c>
      <c r="I278">
        <v>0.72</v>
      </c>
      <c r="J278">
        <v>4000</v>
      </c>
      <c r="K278">
        <v>6000</v>
      </c>
      <c r="L278">
        <v>1.1599999999999999</v>
      </c>
      <c r="M278">
        <f t="shared" si="10"/>
        <v>1.2227759999999997E-2</v>
      </c>
      <c r="N278">
        <f t="shared" si="9"/>
        <v>1.4184201599999996E-2</v>
      </c>
      <c r="O278">
        <v>0.1</v>
      </c>
      <c r="P278">
        <v>35400195.600000001</v>
      </c>
    </row>
    <row r="279" spans="1:16" x14ac:dyDescent="0.15">
      <c r="A279" t="s">
        <v>60</v>
      </c>
      <c r="B279" t="s">
        <v>39</v>
      </c>
      <c r="C279">
        <v>2028</v>
      </c>
      <c r="D279">
        <v>46550</v>
      </c>
      <c r="E279">
        <v>69650</v>
      </c>
      <c r="F279">
        <v>0.57999999999999996</v>
      </c>
      <c r="G279">
        <v>0.215</v>
      </c>
      <c r="H279">
        <v>0.73</v>
      </c>
      <c r="I279">
        <v>0.73</v>
      </c>
      <c r="J279">
        <v>4000</v>
      </c>
      <c r="K279">
        <v>6000</v>
      </c>
      <c r="L279">
        <v>1.1399999999999999</v>
      </c>
      <c r="M279">
        <f t="shared" si="10"/>
        <v>1.4442648499999997E-2</v>
      </c>
      <c r="N279">
        <f t="shared" si="9"/>
        <v>1.6464619289999996E-2</v>
      </c>
      <c r="O279">
        <v>0.1</v>
      </c>
      <c r="P279">
        <v>39566157.840000004</v>
      </c>
    </row>
    <row r="280" spans="1:16" x14ac:dyDescent="0.15">
      <c r="A280" t="s">
        <v>60</v>
      </c>
      <c r="B280" t="s">
        <v>39</v>
      </c>
      <c r="C280">
        <v>2029</v>
      </c>
      <c r="D280">
        <v>53200</v>
      </c>
      <c r="E280">
        <v>79600</v>
      </c>
      <c r="F280">
        <v>0.59</v>
      </c>
      <c r="G280">
        <v>0.22</v>
      </c>
      <c r="H280">
        <v>0.74</v>
      </c>
      <c r="I280">
        <v>0.74</v>
      </c>
      <c r="J280">
        <v>4000</v>
      </c>
      <c r="K280">
        <v>6000</v>
      </c>
      <c r="L280">
        <v>1.1200000000000001</v>
      </c>
      <c r="M280">
        <f t="shared" si="10"/>
        <v>1.7066176000000002E-2</v>
      </c>
      <c r="N280">
        <f t="shared" si="9"/>
        <v>1.9114117120000003E-2</v>
      </c>
      <c r="O280">
        <v>0.1</v>
      </c>
      <c r="P280">
        <v>44179537.920000009</v>
      </c>
    </row>
    <row r="281" spans="1:16" x14ac:dyDescent="0.15">
      <c r="A281" t="s">
        <v>60</v>
      </c>
      <c r="B281" t="s">
        <v>39</v>
      </c>
      <c r="C281">
        <v>2030</v>
      </c>
      <c r="D281">
        <v>60500</v>
      </c>
      <c r="E281">
        <v>91600</v>
      </c>
      <c r="F281">
        <v>0.6</v>
      </c>
      <c r="G281">
        <v>0.22500000000000001</v>
      </c>
      <c r="H281">
        <v>0.75</v>
      </c>
      <c r="I281">
        <v>0.75</v>
      </c>
      <c r="J281">
        <v>4000</v>
      </c>
      <c r="K281">
        <v>6000</v>
      </c>
      <c r="L281">
        <v>1.1000000000000001</v>
      </c>
      <c r="M281">
        <f t="shared" si="10"/>
        <v>2.0164499999999998E-2</v>
      </c>
      <c r="N281">
        <f t="shared" si="9"/>
        <v>2.2180950000000001E-2</v>
      </c>
      <c r="O281">
        <v>0.1</v>
      </c>
      <c r="P281">
        <v>49291440.000000007</v>
      </c>
    </row>
    <row r="282" spans="1:16" x14ac:dyDescent="0.15">
      <c r="A282" t="s">
        <v>60</v>
      </c>
      <c r="B282" t="s">
        <v>59</v>
      </c>
      <c r="C282">
        <v>2025</v>
      </c>
      <c r="D282">
        <v>30000</v>
      </c>
      <c r="E282">
        <v>50000</v>
      </c>
      <c r="F282">
        <v>0.55000000000000004</v>
      </c>
      <c r="G282">
        <v>0.2</v>
      </c>
      <c r="H282">
        <v>0.7</v>
      </c>
      <c r="I282">
        <v>0.7</v>
      </c>
      <c r="J282">
        <v>8000</v>
      </c>
      <c r="K282">
        <v>7000</v>
      </c>
      <c r="L282">
        <v>1.1499999999999999</v>
      </c>
      <c r="M282">
        <f t="shared" si="10"/>
        <v>1.4140000000000002E-2</v>
      </c>
      <c r="N282">
        <f t="shared" si="9"/>
        <v>1.6261000000000001E-2</v>
      </c>
      <c r="O282">
        <v>0.3</v>
      </c>
      <c r="P282">
        <v>123660000</v>
      </c>
    </row>
    <row r="283" spans="1:16" x14ac:dyDescent="0.15">
      <c r="A283" t="s">
        <v>60</v>
      </c>
      <c r="B283" t="s">
        <v>59</v>
      </c>
      <c r="C283">
        <v>2026</v>
      </c>
      <c r="D283">
        <v>35000</v>
      </c>
      <c r="E283">
        <v>55000</v>
      </c>
      <c r="F283">
        <v>0.56000000000000005</v>
      </c>
      <c r="G283">
        <v>0.21</v>
      </c>
      <c r="H283">
        <v>0.71</v>
      </c>
      <c r="I283">
        <v>0.71</v>
      </c>
      <c r="J283">
        <v>8000</v>
      </c>
      <c r="K283">
        <v>7000</v>
      </c>
      <c r="L283">
        <v>1.1399999999999999</v>
      </c>
      <c r="M283">
        <f t="shared" si="10"/>
        <v>1.687315E-2</v>
      </c>
      <c r="N283">
        <f t="shared" si="9"/>
        <v>1.9235390999999998E-2</v>
      </c>
      <c r="O283">
        <v>0.3</v>
      </c>
      <c r="P283">
        <v>140133378</v>
      </c>
    </row>
    <row r="284" spans="1:16" x14ac:dyDescent="0.15">
      <c r="A284" t="s">
        <v>60</v>
      </c>
      <c r="B284" t="s">
        <v>59</v>
      </c>
      <c r="C284">
        <v>2027</v>
      </c>
      <c r="D284">
        <v>40500</v>
      </c>
      <c r="E284">
        <v>61500</v>
      </c>
      <c r="F284">
        <v>0.56999999999999995</v>
      </c>
      <c r="G284">
        <v>0.22</v>
      </c>
      <c r="H284">
        <v>0.72</v>
      </c>
      <c r="I284">
        <v>0.72</v>
      </c>
      <c r="J284">
        <v>8000</v>
      </c>
      <c r="K284">
        <v>7000</v>
      </c>
      <c r="L284">
        <v>1.1299999999999999</v>
      </c>
      <c r="M284">
        <f t="shared" si="10"/>
        <v>2.0116079999999995E-2</v>
      </c>
      <c r="N284">
        <f t="shared" si="9"/>
        <v>2.2731170399999993E-2</v>
      </c>
      <c r="O284">
        <v>0.3</v>
      </c>
      <c r="P284">
        <v>158549252.40000001</v>
      </c>
    </row>
    <row r="285" spans="1:16" x14ac:dyDescent="0.15">
      <c r="A285" t="s">
        <v>60</v>
      </c>
      <c r="B285" t="s">
        <v>59</v>
      </c>
      <c r="C285">
        <v>2028</v>
      </c>
      <c r="D285">
        <v>46550</v>
      </c>
      <c r="E285">
        <v>69650</v>
      </c>
      <c r="F285">
        <v>0.57999999999999996</v>
      </c>
      <c r="G285">
        <v>0.23</v>
      </c>
      <c r="H285">
        <v>0.73</v>
      </c>
      <c r="I285">
        <v>0.73</v>
      </c>
      <c r="J285">
        <v>8000</v>
      </c>
      <c r="K285">
        <v>7000</v>
      </c>
      <c r="L285">
        <v>1.1200000000000001</v>
      </c>
      <c r="M285">
        <f t="shared" si="10"/>
        <v>2.3953380499999996E-2</v>
      </c>
      <c r="N285">
        <f t="shared" si="9"/>
        <v>2.6827786159999999E-2</v>
      </c>
      <c r="O285">
        <v>0.3</v>
      </c>
      <c r="P285">
        <v>179112882.96000001</v>
      </c>
    </row>
    <row r="286" spans="1:16" x14ac:dyDescent="0.15">
      <c r="A286" t="s">
        <v>60</v>
      </c>
      <c r="B286" t="s">
        <v>59</v>
      </c>
      <c r="C286">
        <v>2029</v>
      </c>
      <c r="D286">
        <v>53200</v>
      </c>
      <c r="E286">
        <v>79600</v>
      </c>
      <c r="F286">
        <v>0.59</v>
      </c>
      <c r="G286">
        <v>0.24</v>
      </c>
      <c r="H286">
        <v>0.74</v>
      </c>
      <c r="I286">
        <v>0.74</v>
      </c>
      <c r="J286">
        <v>8000</v>
      </c>
      <c r="K286">
        <v>7000</v>
      </c>
      <c r="L286">
        <v>1.1200000000000001</v>
      </c>
      <c r="M286">
        <f t="shared" si="10"/>
        <v>2.8477567999999998E-2</v>
      </c>
      <c r="N286">
        <f t="shared" si="9"/>
        <v>3.1894876160000002E-2</v>
      </c>
      <c r="O286">
        <v>0.3</v>
      </c>
      <c r="P286">
        <v>202034810.88</v>
      </c>
    </row>
    <row r="287" spans="1:16" x14ac:dyDescent="0.15">
      <c r="A287" t="s">
        <v>60</v>
      </c>
      <c r="B287" t="s">
        <v>59</v>
      </c>
      <c r="C287">
        <v>2030</v>
      </c>
      <c r="D287">
        <v>60500</v>
      </c>
      <c r="E287">
        <v>91500</v>
      </c>
      <c r="F287">
        <v>0.6</v>
      </c>
      <c r="G287">
        <v>0.25</v>
      </c>
      <c r="H287">
        <v>0.75</v>
      </c>
      <c r="I287">
        <v>0.75</v>
      </c>
      <c r="J287">
        <v>8000</v>
      </c>
      <c r="K287">
        <v>7000</v>
      </c>
      <c r="L287">
        <v>1.1200000000000001</v>
      </c>
      <c r="M287">
        <f t="shared" si="10"/>
        <v>3.3789375000000003E-2</v>
      </c>
      <c r="N287">
        <f t="shared" si="9"/>
        <v>3.7844100000000006E-2</v>
      </c>
      <c r="O287">
        <v>0.3</v>
      </c>
      <c r="P287">
        <v>227529225</v>
      </c>
    </row>
  </sheetData>
  <autoFilter ref="A1:P287" xr:uid="{8A13EC9A-25B2-45A0-89AB-C1CAAF77BF55}">
    <filterColumn colId="1">
      <filters>
        <filter val="Abilene, Texas, USA"/>
        <filter val="Arizona, USA"/>
        <filter val="Atlanta, Georgia, USA"/>
        <filter val="Caldwell County, North Carolina, USA"/>
        <filter val="California, USA"/>
        <filter val="Columbus, Ohio, USA"/>
        <filter val="Dallas, Texas, USA"/>
        <filter val="Dallas-Fort Worth, Texas, USA"/>
        <filter val="Dallas–Fort Worth, Texas, USA"/>
        <filter val="Eemshaven, Netherlands"/>
        <filter val="Fayette County, Ohio, USA"/>
        <filter val="Georgia, USA"/>
        <filter val="Groningen, Netherlands"/>
        <filter val="Houston, Texas, USA"/>
        <filter val="Iowa, USA"/>
        <filter val="Loughton, UK"/>
        <filter val="Maiden, North Carolina, USA"/>
        <filter val="Marysville, Ohio, USA"/>
        <filter val="Michigan, USA"/>
        <filter val="Nevada, USA"/>
        <filter val="Oregon, USA"/>
        <filter val="Phoenix, Arizona, USA"/>
        <filter val="Sunbury, Ohio, USA"/>
        <filter val="Texas, USA"/>
        <filter val="Virginia, USA"/>
        <filter val="Washington, USA"/>
        <filter val="Wisconsin, USA"/>
        <filter val="Wyoming, US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Danbo</dc:creator>
  <cp:lastModifiedBy>Chen, Danbo</cp:lastModifiedBy>
  <dcterms:created xsi:type="dcterms:W3CDTF">2025-10-22T15:10:09Z</dcterms:created>
  <dcterms:modified xsi:type="dcterms:W3CDTF">2025-12-01T15:45:38Z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{17AD2DAF-8090-463F-A4A0-45A6FFC386F4}</vt:lpwstr>
  </property>
</Properties>
</file>